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itede.sharepoint.com/sites/SchreiberLab/Shared Documents/MPO_mRNA/data/25-7_BMT-mRNA-V3/raw/spleen-restim-MPO/"/>
    </mc:Choice>
  </mc:AlternateContent>
  <xr:revisionPtr revIDLastSave="5" documentId="13_ncr:1_{27407543-2561-48B7-896A-DA1AF5E85254}" xr6:coauthVersionLast="47" xr6:coauthVersionMax="47" xr10:uidLastSave="{9DC4EA1F-A632-644C-B692-16AAAB471592}"/>
  <bookViews>
    <workbookView xWindow="23900" yWindow="5760" windowWidth="23260" windowHeight="13900" activeTab="2" xr2:uid="{5501A045-1ACD-463C-9145-47D30492B512}"/>
  </bookViews>
  <sheets>
    <sheet name="TNFa_Curve" sheetId="1" state="hidden" r:id="rId1"/>
    <sheet name="TNFa_Standards" sheetId="3" r:id="rId2"/>
    <sheet name="TNFa_Unknowns" sheetId="4" r:id="rId3"/>
  </sheets>
  <definedNames>
    <definedName name="CVmax">TNFa_Standards!$C$31</definedName>
    <definedName name="LLOQ">TNFa_Standards!$F$29</definedName>
    <definedName name="RecoveryHIGH">TNFa_Standards!$C$30</definedName>
    <definedName name="RecoveryLOW">TNFa_Standards!$B$30</definedName>
    <definedName name="ULOQ">TNFa_Standards!$F$31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3" l="1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N31" i="4" a="1"/>
  <c r="N31" i="4" s="1"/>
  <c r="N32" i="4" a="1"/>
  <c r="N32" i="4" s="1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49" i="4" a="1"/>
  <c r="N49" i="4" s="1"/>
  <c r="N50" i="4" a="1"/>
  <c r="N50" i="4" s="1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31" i="4"/>
  <c r="K2" i="4" a="1"/>
  <c r="K2" i="4" s="1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H10" i="4" s="1"/>
  <c r="I10" i="4" s="1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H18" i="4" s="1"/>
  <c r="I18" i="4" s="1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H26" i="4" s="1"/>
  <c r="I26" i="4" s="1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H34" i="4" s="1"/>
  <c r="I34" i="4" s="1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H42" i="4" s="1"/>
  <c r="I42" i="4" s="1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H50" i="4" s="1"/>
  <c r="I50" i="4" s="1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2" i="4"/>
  <c r="G2" i="4"/>
  <c r="F2" i="4"/>
  <c r="E2" i="4"/>
  <c r="F32" i="3"/>
  <c r="F30" i="3"/>
  <c r="F29" i="3"/>
  <c r="F31" i="3"/>
  <c r="S3" i="3"/>
  <c r="S2" i="3"/>
  <c r="R3" i="3"/>
  <c r="R2" i="3"/>
  <c r="J14" i="3"/>
  <c r="N3" i="3"/>
  <c r="P3" i="3" s="1"/>
  <c r="N2" i="3"/>
  <c r="P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D14" i="3"/>
  <c r="H14" i="3" s="1"/>
  <c r="I14" i="3" s="1"/>
  <c r="D15" i="3"/>
  <c r="D3" i="3"/>
  <c r="D4" i="3"/>
  <c r="D5" i="3"/>
  <c r="D6" i="3"/>
  <c r="D7" i="3"/>
  <c r="D8" i="3"/>
  <c r="D9" i="3"/>
  <c r="D10" i="3"/>
  <c r="D11" i="3"/>
  <c r="D12" i="3"/>
  <c r="D13" i="3"/>
  <c r="D2" i="3"/>
  <c r="E19" i="3"/>
  <c r="H19" i="3" s="1"/>
  <c r="F19" i="3"/>
  <c r="E20" i="3"/>
  <c r="H20" i="3" s="1"/>
  <c r="F20" i="3"/>
  <c r="E21" i="3"/>
  <c r="F21" i="3"/>
  <c r="H21" i="3"/>
  <c r="E22" i="3"/>
  <c r="H22" i="3" s="1"/>
  <c r="F22" i="3"/>
  <c r="E23" i="3"/>
  <c r="F23" i="3"/>
  <c r="H23" i="3"/>
  <c r="E24" i="3"/>
  <c r="H24" i="3" s="1"/>
  <c r="F24" i="3"/>
  <c r="F18" i="3"/>
  <c r="E18" i="3"/>
  <c r="G18" i="3" s="1"/>
  <c r="H57" i="4" l="1"/>
  <c r="I57" i="4" s="1"/>
  <c r="H55" i="4"/>
  <c r="I55" i="4" s="1"/>
  <c r="H53" i="4"/>
  <c r="I53" i="4" s="1"/>
  <c r="H51" i="4"/>
  <c r="I51" i="4" s="1"/>
  <c r="H49" i="4"/>
  <c r="I49" i="4" s="1"/>
  <c r="H47" i="4"/>
  <c r="I47" i="4" s="1"/>
  <c r="H45" i="4"/>
  <c r="I45" i="4" s="1"/>
  <c r="H43" i="4"/>
  <c r="I43" i="4" s="1"/>
  <c r="Q22" i="4" s="1"/>
  <c r="H41" i="4"/>
  <c r="I41" i="4" s="1"/>
  <c r="H39" i="4"/>
  <c r="I39" i="4" s="1"/>
  <c r="H37" i="4"/>
  <c r="I37" i="4" s="1"/>
  <c r="H35" i="4"/>
  <c r="I35" i="4" s="1"/>
  <c r="H33" i="4"/>
  <c r="I33" i="4" s="1"/>
  <c r="H31" i="4"/>
  <c r="I31" i="4" s="1"/>
  <c r="H29" i="4"/>
  <c r="I29" i="4" s="1"/>
  <c r="H27" i="4"/>
  <c r="I27" i="4" s="1"/>
  <c r="Q14" i="4" s="1"/>
  <c r="H25" i="4"/>
  <c r="I25" i="4" s="1"/>
  <c r="H23" i="4"/>
  <c r="I23" i="4" s="1"/>
  <c r="H21" i="4"/>
  <c r="I21" i="4" s="1"/>
  <c r="H19" i="4"/>
  <c r="I19" i="4" s="1"/>
  <c r="H17" i="4"/>
  <c r="I17" i="4" s="1"/>
  <c r="H15" i="4"/>
  <c r="I15" i="4" s="1"/>
  <c r="H13" i="4"/>
  <c r="I13" i="4" s="1"/>
  <c r="H11" i="4"/>
  <c r="I11" i="4" s="1"/>
  <c r="Q6" i="4" s="1"/>
  <c r="H9" i="4"/>
  <c r="I9" i="4" s="1"/>
  <c r="H7" i="4"/>
  <c r="I7" i="4" s="1"/>
  <c r="H5" i="4"/>
  <c r="I5" i="4" s="1"/>
  <c r="H3" i="4"/>
  <c r="I3" i="4" s="1"/>
  <c r="H2" i="4"/>
  <c r="I2" i="4" s="1"/>
  <c r="H56" i="4"/>
  <c r="I56" i="4" s="1"/>
  <c r="H54" i="4"/>
  <c r="I54" i="4" s="1"/>
  <c r="H52" i="4"/>
  <c r="I52" i="4" s="1"/>
  <c r="H48" i="4"/>
  <c r="I48" i="4" s="1"/>
  <c r="H46" i="4"/>
  <c r="I46" i="4" s="1"/>
  <c r="H44" i="4"/>
  <c r="I44" i="4" s="1"/>
  <c r="H40" i="4"/>
  <c r="I40" i="4" s="1"/>
  <c r="H38" i="4"/>
  <c r="I38" i="4" s="1"/>
  <c r="H36" i="4"/>
  <c r="I36" i="4" s="1"/>
  <c r="H32" i="4"/>
  <c r="I32" i="4" s="1"/>
  <c r="H30" i="4"/>
  <c r="I30" i="4" s="1"/>
  <c r="H28" i="4"/>
  <c r="I28" i="4" s="1"/>
  <c r="H24" i="4"/>
  <c r="I24" i="4" s="1"/>
  <c r="H22" i="4"/>
  <c r="I22" i="4" s="1"/>
  <c r="H20" i="4"/>
  <c r="I20" i="4" s="1"/>
  <c r="H16" i="4"/>
  <c r="I16" i="4" s="1"/>
  <c r="H14" i="4"/>
  <c r="I14" i="4" s="1"/>
  <c r="H12" i="4"/>
  <c r="I12" i="4" s="1"/>
  <c r="H8" i="4"/>
  <c r="I8" i="4" s="1"/>
  <c r="L5" i="4" s="1"/>
  <c r="H6" i="4"/>
  <c r="I6" i="4" s="1"/>
  <c r="H4" i="4"/>
  <c r="I4" i="4" s="1"/>
  <c r="Q30" i="4"/>
  <c r="L10" i="4"/>
  <c r="L26" i="4"/>
  <c r="L18" i="4"/>
  <c r="L25" i="4"/>
  <c r="L30" i="4"/>
  <c r="L22" i="4"/>
  <c r="L14" i="4"/>
  <c r="L6" i="4"/>
  <c r="N6" i="4" s="1" a="1"/>
  <c r="N6" i="4" s="1"/>
  <c r="O6" i="4" s="1"/>
  <c r="P30" i="4"/>
  <c r="Q2" i="4"/>
  <c r="Q26" i="4"/>
  <c r="Q18" i="4"/>
  <c r="Q10" i="4"/>
  <c r="L29" i="4"/>
  <c r="N29" i="4" s="1" a="1"/>
  <c r="N29" i="4" s="1"/>
  <c r="O29" i="4" s="1"/>
  <c r="L21" i="4"/>
  <c r="L13" i="4"/>
  <c r="N13" i="4" s="1" a="1"/>
  <c r="N13" i="4" s="1"/>
  <c r="O30" i="4"/>
  <c r="Q25" i="4"/>
  <c r="Q17" i="4"/>
  <c r="Q9" i="4"/>
  <c r="L28" i="4"/>
  <c r="L20" i="4"/>
  <c r="L12" i="4"/>
  <c r="M12" i="4" s="1"/>
  <c r="P12" i="4" s="1"/>
  <c r="L4" i="4"/>
  <c r="M4" i="4" s="1"/>
  <c r="P4" i="4" s="1"/>
  <c r="M30" i="4"/>
  <c r="M14" i="4"/>
  <c r="P14" i="4" s="1"/>
  <c r="M6" i="4"/>
  <c r="P6" i="4" s="1"/>
  <c r="N30" i="4" a="1"/>
  <c r="N30" i="4" s="1"/>
  <c r="Q24" i="4"/>
  <c r="Q16" i="4"/>
  <c r="Q8" i="4"/>
  <c r="L27" i="4"/>
  <c r="M27" i="4" s="1"/>
  <c r="L19" i="4"/>
  <c r="L11" i="4"/>
  <c r="M11" i="4" s="1"/>
  <c r="P11" i="4" s="1"/>
  <c r="L3" i="4"/>
  <c r="M29" i="4"/>
  <c r="P29" i="4" s="1"/>
  <c r="M21" i="4"/>
  <c r="M13" i="4"/>
  <c r="P13" i="4" s="1"/>
  <c r="N21" i="4" a="1"/>
  <c r="N21" i="4" s="1"/>
  <c r="O21" i="4" s="1"/>
  <c r="N14" i="4" a="1"/>
  <c r="N14" i="4" s="1"/>
  <c r="O14" i="4" s="1"/>
  <c r="O13" i="4"/>
  <c r="Q23" i="4"/>
  <c r="Q15" i="4"/>
  <c r="Q7" i="4"/>
  <c r="L17" i="4"/>
  <c r="L9" i="4"/>
  <c r="N9" i="4" s="1" a="1"/>
  <c r="N9" i="4" s="1"/>
  <c r="O9" i="4" s="1"/>
  <c r="M19" i="4"/>
  <c r="M3" i="4"/>
  <c r="N19" i="4" a="1"/>
  <c r="N19" i="4" s="1"/>
  <c r="P19" i="4" s="1"/>
  <c r="N12" i="4" a="1"/>
  <c r="N12" i="4" s="1"/>
  <c r="O12" i="4" s="1"/>
  <c r="Q29" i="4"/>
  <c r="Q21" i="4"/>
  <c r="Q13" i="4"/>
  <c r="Q5" i="4"/>
  <c r="L2" i="4"/>
  <c r="L24" i="4"/>
  <c r="N24" i="4" s="1" a="1"/>
  <c r="N24" i="4" s="1"/>
  <c r="O24" i="4" s="1"/>
  <c r="L16" i="4"/>
  <c r="N16" i="4" s="1" a="1"/>
  <c r="N16" i="4" s="1"/>
  <c r="O16" i="4" s="1"/>
  <c r="L8" i="4"/>
  <c r="N8" i="4" s="1" a="1"/>
  <c r="N8" i="4" s="1"/>
  <c r="O8" i="4" s="1"/>
  <c r="M26" i="4"/>
  <c r="M18" i="4"/>
  <c r="M10" i="4"/>
  <c r="N26" i="4" a="1"/>
  <c r="N26" i="4" s="1"/>
  <c r="O26" i="4" s="1"/>
  <c r="N18" i="4" a="1"/>
  <c r="N18" i="4" s="1"/>
  <c r="O18" i="4" s="1"/>
  <c r="N11" i="4" a="1"/>
  <c r="N11" i="4" s="1"/>
  <c r="O11" i="4" s="1"/>
  <c r="N4" i="4" a="1"/>
  <c r="N4" i="4" s="1"/>
  <c r="O4" i="4" s="1"/>
  <c r="Q28" i="4"/>
  <c r="Q20" i="4"/>
  <c r="Q12" i="4"/>
  <c r="Q4" i="4"/>
  <c r="L23" i="4"/>
  <c r="M23" i="4" s="1"/>
  <c r="L15" i="4"/>
  <c r="M15" i="4" s="1"/>
  <c r="P15" i="4" s="1"/>
  <c r="L7" i="4"/>
  <c r="M7" i="4" s="1"/>
  <c r="P7" i="4" s="1"/>
  <c r="M25" i="4"/>
  <c r="P25" i="4" s="1"/>
  <c r="M17" i="4"/>
  <c r="N25" i="4" a="1"/>
  <c r="N25" i="4" s="1"/>
  <c r="O25" i="4" s="1"/>
  <c r="N17" i="4" a="1"/>
  <c r="N17" i="4" s="1"/>
  <c r="O17" i="4" s="1"/>
  <c r="N10" i="4" a="1"/>
  <c r="N10" i="4" s="1"/>
  <c r="O10" i="4" s="1"/>
  <c r="N3" i="4" a="1"/>
  <c r="N3" i="4" s="1"/>
  <c r="P3" i="4" s="1"/>
  <c r="Q27" i="4"/>
  <c r="Q19" i="4"/>
  <c r="Q11" i="4"/>
  <c r="Q3" i="4"/>
  <c r="G24" i="3"/>
  <c r="J24" i="3" s="1"/>
  <c r="K24" i="3" s="1"/>
  <c r="G23" i="3"/>
  <c r="G21" i="3"/>
  <c r="O2" i="3"/>
  <c r="H11" i="3"/>
  <c r="O3" i="3"/>
  <c r="H3" i="3"/>
  <c r="G20" i="3"/>
  <c r="J20" i="3" s="1"/>
  <c r="K20" i="3" s="1"/>
  <c r="H8" i="3"/>
  <c r="G19" i="3"/>
  <c r="J19" i="3" s="1"/>
  <c r="K19" i="3" s="1"/>
  <c r="J23" i="3"/>
  <c r="K23" i="3" s="1"/>
  <c r="H5" i="3"/>
  <c r="H6" i="3"/>
  <c r="H4" i="3"/>
  <c r="J21" i="3"/>
  <c r="K21" i="3" s="1"/>
  <c r="H12" i="3"/>
  <c r="H2" i="3"/>
  <c r="J2" i="3" s="1"/>
  <c r="H10" i="3"/>
  <c r="H9" i="3"/>
  <c r="H15" i="3"/>
  <c r="H13" i="3"/>
  <c r="H7" i="3"/>
  <c r="G22" i="3"/>
  <c r="J22" i="3" s="1"/>
  <c r="K22" i="3" s="1"/>
  <c r="H18" i="3"/>
  <c r="J18" i="3" s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M22" i="4" l="1"/>
  <c r="P22" i="4" s="1"/>
  <c r="N22" i="4" a="1"/>
  <c r="N22" i="4" s="1"/>
  <c r="O22" i="4" s="1"/>
  <c r="N2" i="4" a="1"/>
  <c r="N2" i="4" s="1"/>
  <c r="O2" i="4" s="1"/>
  <c r="M2" i="4"/>
  <c r="P17" i="4"/>
  <c r="N5" i="4" a="1"/>
  <c r="N5" i="4" s="1"/>
  <c r="P5" i="4" s="1"/>
  <c r="M5" i="4"/>
  <c r="P21" i="4"/>
  <c r="P10" i="4"/>
  <c r="N27" i="4" a="1"/>
  <c r="N27" i="4" s="1"/>
  <c r="O27" i="4" s="1"/>
  <c r="P18" i="4"/>
  <c r="M9" i="4"/>
  <c r="P9" i="4" s="1"/>
  <c r="P26" i="4"/>
  <c r="O3" i="4"/>
  <c r="N15" i="4" a="1"/>
  <c r="N15" i="4" s="1"/>
  <c r="O15" i="4" s="1"/>
  <c r="M8" i="4"/>
  <c r="P8" i="4" s="1"/>
  <c r="N7" i="4" a="1"/>
  <c r="N7" i="4" s="1"/>
  <c r="O7" i="4" s="1"/>
  <c r="N23" i="4" a="1"/>
  <c r="N23" i="4" s="1"/>
  <c r="O23" i="4" s="1"/>
  <c r="M16" i="4"/>
  <c r="P16" i="4" s="1"/>
  <c r="O19" i="4"/>
  <c r="M20" i="4"/>
  <c r="N20" i="4" a="1"/>
  <c r="N20" i="4" s="1"/>
  <c r="O20" i="4" s="1"/>
  <c r="M24" i="4"/>
  <c r="P24" i="4" s="1"/>
  <c r="N28" i="4" a="1"/>
  <c r="N28" i="4" s="1"/>
  <c r="O28" i="4" s="1"/>
  <c r="M28" i="4"/>
  <c r="I4" i="3"/>
  <c r="J4" i="3"/>
  <c r="I10" i="3"/>
  <c r="J10" i="3"/>
  <c r="I6" i="3"/>
  <c r="J6" i="3"/>
  <c r="I9" i="3"/>
  <c r="J9" i="3"/>
  <c r="I8" i="3"/>
  <c r="J8" i="3"/>
  <c r="I11" i="3"/>
  <c r="J11" i="3"/>
  <c r="I7" i="3"/>
  <c r="J7" i="3"/>
  <c r="I12" i="3"/>
  <c r="J12" i="3"/>
  <c r="I5" i="3"/>
  <c r="J5" i="3" s="1"/>
  <c r="I3" i="3"/>
  <c r="J3" i="3" s="1"/>
  <c r="I13" i="3"/>
  <c r="J13" i="3"/>
  <c r="I2" i="3"/>
  <c r="I15" i="3"/>
  <c r="J15" i="3" s="1"/>
  <c r="P2" i="4" l="1"/>
  <c r="O5" i="4"/>
  <c r="P27" i="4"/>
  <c r="P20" i="4"/>
  <c r="P23" i="4"/>
  <c r="P2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<sst xmlns="http://schemas.openxmlformats.org/spreadsheetml/2006/main" count="137" uniqueCount="81">
  <si>
    <t>Concentration</t>
  </si>
  <si>
    <t>NetMFI</t>
  </si>
  <si>
    <t>&gt; check</t>
  </si>
  <si>
    <t>Status</t>
  </si>
  <si>
    <t>∆Conc</t>
  </si>
  <si>
    <t>∆MFI</t>
  </si>
  <si>
    <t>Standard1</t>
  </si>
  <si>
    <t>Standard2</t>
  </si>
  <si>
    <t>Standard3</t>
  </si>
  <si>
    <t>Standard4</t>
  </si>
  <si>
    <t>Standard5</t>
  </si>
  <si>
    <t>Standard6</t>
  </si>
  <si>
    <t>Standard7</t>
  </si>
  <si>
    <t>Recovery</t>
  </si>
  <si>
    <t>CV</t>
  </si>
  <si>
    <t>Backcalc 1</t>
  </si>
  <si>
    <t>Backcalc 2</t>
  </si>
  <si>
    <t>SD</t>
  </si>
  <si>
    <t>CV %</t>
  </si>
  <si>
    <t>Mean</t>
  </si>
  <si>
    <t>OOR&gt;</t>
  </si>
  <si>
    <t>OOR&lt;</t>
  </si>
  <si>
    <t>REF.Soll.X</t>
  </si>
  <si>
    <t>REF.Y</t>
  </si>
  <si>
    <t>Recov.OK120.Y</t>
  </si>
  <si>
    <t>Recov.OK80.Y</t>
  </si>
  <si>
    <t>QC</t>
  </si>
  <si>
    <t>L</t>
  </si>
  <si>
    <t>H</t>
  </si>
  <si>
    <t>≤</t>
  </si>
  <si>
    <t>1:1</t>
  </si>
  <si>
    <t>LOK</t>
  </si>
  <si>
    <t>HOK</t>
  </si>
  <si>
    <t>Backcalc
(pg/ml)</t>
  </si>
  <si>
    <t>Recovery
(%)</t>
  </si>
  <si>
    <t>STD</t>
  </si>
  <si>
    <t>Target
(pg/ml)</t>
  </si>
  <si>
    <r>
      <t>y</t>
    </r>
    <r>
      <rPr>
        <i/>
        <vertAlign val="subscript"/>
        <sz val="11"/>
        <color theme="1" tint="0.499984740745262"/>
        <rFont val="Aptos Narrow"/>
        <family val="2"/>
        <scheme val="minor"/>
      </rPr>
      <t>1</t>
    </r>
  </si>
  <si>
    <r>
      <t>x</t>
    </r>
    <r>
      <rPr>
        <i/>
        <vertAlign val="subscript"/>
        <sz val="11"/>
        <color theme="1" tint="0.499984740745262"/>
        <rFont val="Aptos Narrow"/>
        <family val="2"/>
        <scheme val="minor"/>
      </rPr>
      <t>1</t>
    </r>
  </si>
  <si>
    <r>
      <t>y</t>
    </r>
    <r>
      <rPr>
        <i/>
        <vertAlign val="subscript"/>
        <sz val="11"/>
        <color theme="1" tint="0.499984740745262"/>
        <rFont val="Aptos Narrow"/>
        <family val="2"/>
        <scheme val="minor"/>
      </rPr>
      <t>2</t>
    </r>
  </si>
  <si>
    <r>
      <t>x</t>
    </r>
    <r>
      <rPr>
        <i/>
        <vertAlign val="subscript"/>
        <sz val="11"/>
        <color theme="1" tint="0.499984740745262"/>
        <rFont val="Aptos Narrow"/>
        <family val="2"/>
        <scheme val="minor"/>
      </rPr>
      <t>2</t>
    </r>
  </si>
  <si>
    <t>LLOQ</t>
  </si>
  <si>
    <t>LLOQ STD</t>
  </si>
  <si>
    <t>ULOQ</t>
  </si>
  <si>
    <t>ULOQ STD</t>
  </si>
  <si>
    <t>QC Criteria</t>
  </si>
  <si>
    <t xml:space="preserve">Quantification Range </t>
  </si>
  <si>
    <t>Sample</t>
  </si>
  <si>
    <t>Rep</t>
  </si>
  <si>
    <t>n</t>
  </si>
  <si>
    <t>SEM</t>
  </si>
  <si>
    <t>Final Result</t>
  </si>
  <si>
    <t>Result
Status</t>
  </si>
  <si>
    <t>25-7-1</t>
  </si>
  <si>
    <t>25-7-2</t>
  </si>
  <si>
    <t>25-7-3</t>
  </si>
  <si>
    <t>25-7-4</t>
  </si>
  <si>
    <t>25-7-5</t>
  </si>
  <si>
    <t>25-7-6</t>
  </si>
  <si>
    <t>25-7-7</t>
  </si>
  <si>
    <t>25-7-8</t>
  </si>
  <si>
    <t>25-7-9</t>
  </si>
  <si>
    <t>25-7-10</t>
  </si>
  <si>
    <t>25-7-11</t>
  </si>
  <si>
    <t>25-7-12</t>
  </si>
  <si>
    <t>25-7-13</t>
  </si>
  <si>
    <t>25-7-14</t>
  </si>
  <si>
    <t>25-7-15</t>
  </si>
  <si>
    <t>25-7-16</t>
  </si>
  <si>
    <t>25-7-17</t>
  </si>
  <si>
    <t>25-7-18</t>
  </si>
  <si>
    <t>25-7-19</t>
  </si>
  <si>
    <t>25-7-20</t>
  </si>
  <si>
    <t>25-7-21</t>
  </si>
  <si>
    <t>25-7-22</t>
  </si>
  <si>
    <t>25-7-23</t>
  </si>
  <si>
    <t>25-7-24</t>
  </si>
  <si>
    <t>25-7-25</t>
  </si>
  <si>
    <t>25-7-26</t>
  </si>
  <si>
    <t>25-7-27</t>
  </si>
  <si>
    <t>25-7-28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</si>
</sst>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i/>
      <vertAlign val="subscript"/>
      <sz val="11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9" xfId="0" applyFill="1" applyBorder="1"/>
    <xf numFmtId="0" fontId="2" fillId="3" borderId="8" xfId="0" applyFont="1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0" fontId="0" fillId="0" borderId="0" xfId="0" quotePrefix="1" applyNumberFormat="1"/>
    <xf numFmtId="2" fontId="0" fillId="2" borderId="1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2" fontId="0" fillId="2" borderId="6" xfId="0" applyNumberFormat="1" applyFill="1" applyBorder="1"/>
    <xf numFmtId="2" fontId="0" fillId="2" borderId="9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3" borderId="14" xfId="0" applyNumberFormat="1" applyFont="1" applyFill="1" applyBorder="1"/>
    <xf numFmtId="2" fontId="5" fillId="3" borderId="1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3" borderId="1" xfId="0" applyNumberFormat="1" applyFont="1" applyFill="1" applyBorder="1"/>
    <xf numFmtId="2" fontId="3" fillId="3" borderId="11" xfId="0" applyNumberFormat="1" applyFont="1" applyFill="1" applyBorder="1"/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3" borderId="14" xfId="0" applyNumberFormat="1" applyFont="1" applyFill="1" applyBorder="1"/>
    <xf numFmtId="2" fontId="3" fillId="3" borderId="15" xfId="0" applyNumberFormat="1" applyFont="1" applyFill="1" applyBorder="1"/>
    <xf numFmtId="2" fontId="3" fillId="3" borderId="8" xfId="0" applyNumberFormat="1" applyFont="1" applyFill="1" applyBorder="1"/>
    <xf numFmtId="0" fontId="3" fillId="0" borderId="3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</cellXfs>
  <cellStyles count="1">
    <cellStyle name="Standard" xfId="0" builtinId="0"/>
  </cellStyles>
  <dxfs count="13"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gradientFill type="path" left="0.5" right="0.5" top="0.5" bottom="0.5">
          <stop position="0">
            <color rgb="FFFFFF99"/>
          </stop>
          <stop position="1">
            <color rgb="FFFFCC00"/>
          </stop>
        </gradientFill>
      </fill>
    </dxf>
    <dxf>
      <fill>
        <gradientFill type="path" left="0.5" right="0.5" top="0.5" bottom="0.5">
          <stop position="0">
            <color theme="9" tint="0.80001220740379042"/>
          </stop>
          <stop position="1">
            <color theme="9"/>
          </stop>
        </gradientFill>
      </fill>
    </dxf>
    <dxf>
      <fill>
        <gradientFill type="path" left="0.5" right="0.5" top="0.5" bottom="0.5">
          <stop position="0">
            <color theme="7" tint="0.80001220740379042"/>
          </stop>
          <stop position="1">
            <color theme="7" tint="0.40000610370189521"/>
          </stop>
        </gradientFill>
      </fill>
    </dxf>
    <dxf>
      <fill>
        <gradientFill type="path" left="0.5" right="0.5" top="0.5" bottom="0.5">
          <stop position="0">
            <color theme="3" tint="0.49803155613879818"/>
          </stop>
          <stop position="1">
            <color theme="3" tint="0.25098422193060094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"/>
    </dxf>
  </dxfs>
  <tableStyles count="0" defaultTableStyle="TableStyleMedium2" defaultPivotStyle="PivotStyleLight16"/>
  <colors>
    <mruColors>
      <color rgb="FF0000FF"/>
      <color rgb="FFFF7C80"/>
      <color rgb="FFFFFFCC"/>
      <color rgb="FFFFCC00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vs. Backcalc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Replicate_1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(TNFa_Standards!$B$2,TNFa_Standards!$B$4,TNFa_Standards!$B$6,TNFa_Standards!$B$8,TNFa_Standards!$B$10,TNFa_Standards!$B$12,TNFa_Standards!$B$14)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(TNFa_Standards!$H$2,TNFa_Standards!$H$4,TNFa_Standards!$H$6,TNFa_Standards!$H$8,TNFa_Standards!$H$10,TNFa_Standards!$H$12,TNFa_Standards!$H$14)</c:f>
              <c:numCache>
                <c:formatCode>0.00</c:formatCode>
                <c:ptCount val="7"/>
                <c:pt idx="0">
                  <c:v>0</c:v>
                </c:pt>
                <c:pt idx="1">
                  <c:v>505.99907479043054</c:v>
                </c:pt>
                <c:pt idx="2">
                  <c:v>109.64678257594873</c:v>
                </c:pt>
                <c:pt idx="3">
                  <c:v>33.653526086180861</c:v>
                </c:pt>
                <c:pt idx="4">
                  <c:v>8.1862943059207538</c:v>
                </c:pt>
                <c:pt idx="5">
                  <c:v>1.7710396919124898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65-4792-B8B9-B57FA1126752}"/>
            </c:ext>
          </c:extLst>
        </c:ser>
        <c:ser>
          <c:idx val="5"/>
          <c:order val="1"/>
          <c:tx>
            <c:v>Replicate_2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(TNFa_Standards!$B$3,TNFa_Standards!$B$5,TNFa_Standards!$B$7,TNFa_Standards!$B$9,TNFa_Standards!$B$11,TNFa_Standards!$B$13,TNFa_Standards!$B$15)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(TNFa_Standards!$H$3,TNFa_Standards!$H$5,TNFa_Standards!$H$7,TNFa_Standards!$H$9,TNFa_Standards!$H$11,TNFa_Standards!$H$13,TNFa_Standards!$H$15)</c:f>
              <c:numCache>
                <c:formatCode>0.00</c:formatCode>
                <c:ptCount val="7"/>
                <c:pt idx="0">
                  <c:v>1330.4312040531886</c:v>
                </c:pt>
                <c:pt idx="1">
                  <c:v>420.44744911901421</c:v>
                </c:pt>
                <c:pt idx="2">
                  <c:v>124.07580087132094</c:v>
                </c:pt>
                <c:pt idx="3">
                  <c:v>28.509064950507604</c:v>
                </c:pt>
                <c:pt idx="4">
                  <c:v>8.5603274882466014</c:v>
                </c:pt>
                <c:pt idx="5">
                  <c:v>1.456431672667577</c:v>
                </c:pt>
                <c:pt idx="6">
                  <c:v>0.575294144296705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65-4792-B8B9-B57FA1126752}"/>
            </c:ext>
          </c:extLst>
        </c:ser>
        <c:ser>
          <c:idx val="1"/>
          <c:order val="2"/>
          <c:tx>
            <c:v>REF</c:v>
          </c:tx>
          <c:spPr>
            <a:ln w="12700" cap="rnd">
              <a:solidFill>
                <a:schemeClr val="accent3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TNFa_Standards!$M$2:$M$3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TNFa_Standards!$M$2:$M$3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4-4472-AF68-9D5A37CBE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769999"/>
        <c:axId val="183848735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v>LOK</c:v>
                </c:tx>
                <c:spPr>
                  <a:ln w="1270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TNFa_Standards!$M$2:$M$3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</c:v>
                      </c:pt>
                      <c:pt idx="1">
                        <c:v>10000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TNFa_Standards!$O$2:$O$3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0.08</c:v>
                      </c:pt>
                      <c:pt idx="1">
                        <c:v>8000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865-4792-B8B9-B57FA1126752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HOK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TNFa_Standards!$M$2:$M$3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</c:v>
                      </c:pt>
                      <c:pt idx="1">
                        <c:v>10000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TNFa_Standards!$P$2:$P$3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0.12</c:v>
                      </c:pt>
                      <c:pt idx="1">
                        <c:v>12000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65-4792-B8B9-B57FA1126752}"/>
                  </c:ext>
                </c:extLst>
              </c15:ser>
            </c15:filteredScatterSeries>
          </c:ext>
        </c:extLst>
      </c:scatterChart>
      <c:valAx>
        <c:axId val="18607699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TNFa_Standards!$B$1</c:f>
              <c:strCache>
                <c:ptCount val="1"/>
                <c:pt idx="0">
                  <c:v>Target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8487359"/>
        <c:crossesAt val="0.1"/>
        <c:crossBetween val="midCat"/>
      </c:valAx>
      <c:valAx>
        <c:axId val="1838487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TNFa_Standards!$H$1</c:f>
              <c:strCache>
                <c:ptCount val="1"/>
                <c:pt idx="0">
                  <c:v>Backcalc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769999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vs. Recovery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Replicate_1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(TNFa_Standards!$B$2,TNFa_Standards!$B$4,TNFa_Standards!$B$6,TNFa_Standards!$B$8,TNFa_Standards!$B$10,TNFa_Standards!$B$12,TNFa_Standards!$B$14)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(TNFa_Standards!$I$2,TNFa_Standards!$I$4,TNFa_Standards!$I$6,TNFa_Standards!$I$8,TNFa_Standards!$I$10,TNFa_Standards!$I$12,TNFa_Standards!$I$14)</c:f>
              <c:numCache>
                <c:formatCode>0.00</c:formatCode>
                <c:ptCount val="7"/>
                <c:pt idx="0">
                  <c:v>0</c:v>
                </c:pt>
                <c:pt idx="1">
                  <c:v>101.19981495808609</c:v>
                </c:pt>
                <c:pt idx="2">
                  <c:v>87.717426060758982</c:v>
                </c:pt>
                <c:pt idx="3">
                  <c:v>107.69128347577876</c:v>
                </c:pt>
                <c:pt idx="4">
                  <c:v>104.81810891063705</c:v>
                </c:pt>
                <c:pt idx="5">
                  <c:v>90.822548303204613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2E-4D32-B673-F641600D1A1E}"/>
            </c:ext>
          </c:extLst>
        </c:ser>
        <c:ser>
          <c:idx val="0"/>
          <c:order val="1"/>
          <c:tx>
            <c:v>Replicate_2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(TNFa_Standards!$B$3,TNFa_Standards!$B$5,TNFa_Standards!$B$7,TNFa_Standards!$B$9,TNFa_Standards!$B$11,TNFa_Standards!$B$13,TNFa_Standards!$B$15)</c:f>
              <c:numCache>
                <c:formatCode>General</c:formatCode>
                <c:ptCount val="7"/>
                <c:pt idx="0">
                  <c:v>2000</c:v>
                </c:pt>
                <c:pt idx="1">
                  <c:v>500</c:v>
                </c:pt>
                <c:pt idx="2">
                  <c:v>125</c:v>
                </c:pt>
                <c:pt idx="3">
                  <c:v>31.25</c:v>
                </c:pt>
                <c:pt idx="4">
                  <c:v>7.81</c:v>
                </c:pt>
                <c:pt idx="5">
                  <c:v>1.95</c:v>
                </c:pt>
                <c:pt idx="6">
                  <c:v>0.49</c:v>
                </c:pt>
              </c:numCache>
            </c:numRef>
          </c:xVal>
          <c:yVal>
            <c:numRef>
              <c:f>(TNFa_Standards!$I$3,TNFa_Standards!$I$5,TNFa_Standards!$I$7,TNFa_Standards!$I$9,TNFa_Standards!$I$11,TNFa_Standards!$I$13,TNFa_Standards!$I$15)</c:f>
              <c:numCache>
                <c:formatCode>0.00</c:formatCode>
                <c:ptCount val="7"/>
                <c:pt idx="0">
                  <c:v>66.52156020265943</c:v>
                </c:pt>
                <c:pt idx="1">
                  <c:v>84.089489823802836</c:v>
                </c:pt>
                <c:pt idx="2">
                  <c:v>99.260640697056743</c:v>
                </c:pt>
                <c:pt idx="3">
                  <c:v>91.229007841624338</c:v>
                </c:pt>
                <c:pt idx="4">
                  <c:v>109.60726617473242</c:v>
                </c:pt>
                <c:pt idx="5">
                  <c:v>74.688803726542403</c:v>
                </c:pt>
                <c:pt idx="6">
                  <c:v>117.40696822381736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2E-4D32-B673-F641600D1A1E}"/>
            </c:ext>
          </c:extLst>
        </c:ser>
        <c:ser>
          <c:idx val="1"/>
          <c:order val="2"/>
          <c:tx>
            <c:v>REF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TNFa_Standards!$M$2:$M$3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TNFa_Standards!$Q$2:$Q$3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E-4D32-B673-F641600D1A1E}"/>
            </c:ext>
          </c:extLst>
        </c:ser>
        <c:ser>
          <c:idx val="2"/>
          <c:order val="3"/>
          <c:tx>
            <c:v>OK80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TNFa_Standards!$M$2:$M$3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TNFa_Standards!$R$2:$R$3</c:f>
              <c:numCache>
                <c:formatCode>General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E-4D32-B673-F641600D1A1E}"/>
            </c:ext>
          </c:extLst>
        </c:ser>
        <c:ser>
          <c:idx val="3"/>
          <c:order val="4"/>
          <c:tx>
            <c:v>OK120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TNFa_Standards!$M$2:$M$3</c:f>
              <c:numCache>
                <c:formatCode>General</c:formatCode>
                <c:ptCount val="2"/>
                <c:pt idx="0">
                  <c:v>0.1</c:v>
                </c:pt>
                <c:pt idx="1">
                  <c:v>10000</c:v>
                </c:pt>
              </c:numCache>
            </c:numRef>
          </c:xVal>
          <c:yVal>
            <c:numRef>
              <c:f>TNFa_Standards!$S$2:$S$3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E-4D32-B673-F641600D1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769999"/>
        <c:axId val="1838487359"/>
      </c:scatterChart>
      <c:valAx>
        <c:axId val="18607699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TNFa_Standards!$B$1</c:f>
              <c:strCache>
                <c:ptCount val="1"/>
                <c:pt idx="0">
                  <c:v>Target
(pg/ml)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8487359"/>
        <c:crossesAt val="0.1"/>
        <c:crossBetween val="midCat"/>
      </c:valAx>
      <c:valAx>
        <c:axId val="183848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TNFa_Standards!$I$1</c:f>
              <c:strCache>
                <c:ptCount val="1"/>
                <c:pt idx="0">
                  <c:v>Recovery
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769999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EDD4991-99BA-2C86-D566-B55EAE9DB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6350</xdr:rowOff>
    </xdr:from>
    <xdr:to>
      <xdr:col>20</xdr:col>
      <xdr:colOff>0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2989C42-B17B-4CDA-97E3-35908F9C3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CB84C-97F9-4D97-823A-8ABFBDE4239E}" name="tblTNFa" displayName="tblTNFa" ref="A1:E1001" totalsRowShown="0" headerRowDxfId="12" dataDxfId="11">
  <autoFilter ref="A1:E1001" xr:uid="{D69CB84C-97F9-4D97-823A-8ABFBDE4239E}"/>
  <tableColumns count="5">
    <tableColumn id="1" xr3:uid="{F343E94F-E2EF-4341-A149-A50A654872E6}" name="Concentration" dataDxfId="10"/>
    <tableColumn id="2" xr3:uid="{056F2187-15EA-4218-9E95-3538CC3B586B}" name="NetMFI" dataDxfId="9"/>
    <tableColumn id="5" xr3:uid="{BBA9F390-886C-4CEC-BF6A-A7159C691ADE}" name="∆Conc" dataDxfId="8"/>
    <tableColumn id="4" xr3:uid="{2F3AF7A5-2F95-45A1-B1A9-2E6DBC37EFB3}" name="∆MFI" dataDxfId="7"/>
    <tableColumn id="3" xr3:uid="{556814ED-CC9F-405D-879B-C31810C446CE}" name="&gt; check" dataDxfId="6">
      <calculatedColumnFormula>tblTNFa[[#This Row],[NetMFI]]&gt;B1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AC8C-254C-4B90-B733-E8A97FDA4DCA}">
  <dimension ref="A1:E1001"/>
  <sheetViews>
    <sheetView workbookViewId="0">
      <selection activeCell="B10" sqref="B10"/>
    </sheetView>
  </sheetViews>
  <sheetFormatPr baseColWidth="10" defaultRowHeight="15" x14ac:dyDescent="0.2"/>
  <cols>
    <col min="1" max="1" width="15" style="2" customWidth="1"/>
    <col min="2" max="4" width="16.83203125" style="2" customWidth="1"/>
  </cols>
  <sheetData>
    <row r="1" spans="1:5" x14ac:dyDescent="0.2">
      <c r="A1" s="2" t="s">
        <v>0</v>
      </c>
      <c r="B1" s="2" t="s">
        <v>1</v>
      </c>
      <c r="C1" s="4" t="s">
        <v>4</v>
      </c>
      <c r="D1" s="4" t="s">
        <v>5</v>
      </c>
      <c r="E1" s="2" t="s">
        <v>2</v>
      </c>
    </row>
    <row r="2" spans="1:5" x14ac:dyDescent="0.2">
      <c r="A2" s="1">
        <v>0.49</v>
      </c>
      <c r="B2" s="1">
        <v>19.852967194712999</v>
      </c>
      <c r="C2" s="1"/>
      <c r="D2" s="1"/>
      <c r="E2" s="1" t="b">
        <f>tblTNFa[[#This Row],[NetMFI]]&gt;B1</f>
        <v>0</v>
      </c>
    </row>
    <row r="3" spans="1:5" x14ac:dyDescent="0.2">
      <c r="A3" s="1">
        <v>2.4915115115115101</v>
      </c>
      <c r="B3" s="1">
        <v>70.939196579494606</v>
      </c>
      <c r="C3" s="1"/>
      <c r="D3" s="1"/>
      <c r="E3" s="1" t="b">
        <f>tblTNFa[[#This Row],[NetMFI]]&gt;B2</f>
        <v>1</v>
      </c>
    </row>
    <row r="4" spans="1:5" x14ac:dyDescent="0.2">
      <c r="A4" s="1">
        <v>4.4930230230230199</v>
      </c>
      <c r="B4" s="1">
        <v>148.02761478666801</v>
      </c>
      <c r="C4" s="1"/>
      <c r="D4" s="1"/>
      <c r="E4" s="1" t="b">
        <f>tblTNFa[[#This Row],[NetMFI]]&gt;B3</f>
        <v>1</v>
      </c>
    </row>
    <row r="5" spans="1:5" x14ac:dyDescent="0.2">
      <c r="A5" s="1">
        <v>6.49453453453454</v>
      </c>
      <c r="B5" s="1">
        <v>242.725013739395</v>
      </c>
      <c r="C5" s="1"/>
      <c r="D5" s="1"/>
      <c r="E5" s="1" t="b">
        <f>tblTNFa[[#This Row],[NetMFI]]&gt;B4</f>
        <v>1</v>
      </c>
    </row>
    <row r="6" spans="1:5" x14ac:dyDescent="0.2">
      <c r="A6" s="1">
        <v>8.4960460460460503</v>
      </c>
      <c r="B6" s="1">
        <v>351.13785281968399</v>
      </c>
      <c r="C6" s="1"/>
      <c r="D6" s="1"/>
      <c r="E6" s="1" t="b">
        <f>tblTNFa[[#This Row],[NetMFI]]&gt;B5</f>
        <v>1</v>
      </c>
    </row>
    <row r="7" spans="1:5" x14ac:dyDescent="0.2">
      <c r="A7" s="1">
        <v>10.497557557557601</v>
      </c>
      <c r="B7" s="1">
        <v>470.769608845503</v>
      </c>
      <c r="C7" s="1"/>
      <c r="D7" s="1"/>
      <c r="E7" s="1" t="b">
        <f>tblTNFa[[#This Row],[NetMFI]]&gt;B6</f>
        <v>1</v>
      </c>
    </row>
    <row r="8" spans="1:5" x14ac:dyDescent="0.2">
      <c r="A8" s="1">
        <v>12.499069069069099</v>
      </c>
      <c r="B8" s="1">
        <v>599.79603307028106</v>
      </c>
      <c r="C8" s="1"/>
      <c r="D8" s="1"/>
      <c r="E8" s="1" t="b">
        <f>tblTNFa[[#This Row],[NetMFI]]&gt;B7</f>
        <v>1</v>
      </c>
    </row>
    <row r="9" spans="1:5" x14ac:dyDescent="0.2">
      <c r="A9" s="1">
        <v>14.5005805805806</v>
      </c>
      <c r="B9" s="1">
        <v>736.78473383047196</v>
      </c>
      <c r="C9" s="1"/>
      <c r="D9" s="1"/>
      <c r="E9" s="1" t="b">
        <f>tblTNFa[[#This Row],[NetMFI]]&gt;B8</f>
        <v>1</v>
      </c>
    </row>
    <row r="10" spans="1:5" x14ac:dyDescent="0.2">
      <c r="A10" s="1">
        <v>16.502092092092099</v>
      </c>
      <c r="B10" s="1">
        <v>880.55978840540604</v>
      </c>
      <c r="C10" s="1"/>
      <c r="D10" s="1"/>
      <c r="E10" s="1" t="b">
        <f>tblTNFa[[#This Row],[NetMFI]]&gt;B9</f>
        <v>1</v>
      </c>
    </row>
    <row r="11" spans="1:5" x14ac:dyDescent="0.2">
      <c r="A11" s="1">
        <v>18.503603603603601</v>
      </c>
      <c r="B11" s="1">
        <v>1030.12699338326</v>
      </c>
      <c r="C11" s="1"/>
      <c r="D11" s="1"/>
      <c r="E11" s="1" t="b">
        <f>tblTNFa[[#This Row],[NetMFI]]&gt;B10</f>
        <v>1</v>
      </c>
    </row>
    <row r="12" spans="1:5" x14ac:dyDescent="0.2">
      <c r="A12" s="1">
        <v>20.5051151151151</v>
      </c>
      <c r="B12" s="1">
        <v>1184.62858958981</v>
      </c>
      <c r="C12" s="1"/>
      <c r="D12" s="1"/>
      <c r="E12" s="1" t="b">
        <f>tblTNFa[[#This Row],[NetMFI]]&gt;B11</f>
        <v>1</v>
      </c>
    </row>
    <row r="13" spans="1:5" x14ac:dyDescent="0.2">
      <c r="A13" s="1">
        <v>22.506626626626598</v>
      </c>
      <c r="B13" s="1">
        <v>1343.3138739516201</v>
      </c>
      <c r="C13" s="1"/>
      <c r="D13" s="1"/>
      <c r="E13" s="1" t="b">
        <f>tblTNFa[[#This Row],[NetMFI]]&gt;B12</f>
        <v>1</v>
      </c>
    </row>
    <row r="14" spans="1:5" x14ac:dyDescent="0.2">
      <c r="A14" s="1">
        <v>24.508138138138101</v>
      </c>
      <c r="B14" s="1">
        <v>1505.5190519007399</v>
      </c>
      <c r="C14" s="1"/>
      <c r="D14" s="1"/>
      <c r="E14" s="1" t="b">
        <f>tblTNFa[[#This Row],[NetMFI]]&gt;B13</f>
        <v>1</v>
      </c>
    </row>
    <row r="15" spans="1:5" x14ac:dyDescent="0.2">
      <c r="A15" s="1">
        <v>26.509649649649599</v>
      </c>
      <c r="B15" s="1">
        <v>1670.6527905381299</v>
      </c>
      <c r="C15" s="1"/>
      <c r="D15" s="1"/>
      <c r="E15" s="1" t="b">
        <f>tblTNFa[[#This Row],[NetMFI]]&gt;B14</f>
        <v>1</v>
      </c>
    </row>
    <row r="16" spans="1:5" x14ac:dyDescent="0.2">
      <c r="A16" s="1">
        <v>28.511161161161201</v>
      </c>
      <c r="B16" s="1">
        <v>1838.1854592781599</v>
      </c>
      <c r="C16" s="1"/>
      <c r="D16" s="1"/>
      <c r="E16" s="1" t="b">
        <f>tblTNFa[[#This Row],[NetMFI]]&gt;B15</f>
        <v>1</v>
      </c>
    </row>
    <row r="17" spans="1:5" x14ac:dyDescent="0.2">
      <c r="A17" s="1">
        <v>30.5126726726727</v>
      </c>
      <c r="B17" s="1">
        <v>2007.6408513649001</v>
      </c>
      <c r="C17" s="1"/>
      <c r="D17" s="1"/>
      <c r="E17" s="1" t="b">
        <f>tblTNFa[[#This Row],[NetMFI]]&gt;B16</f>
        <v>1</v>
      </c>
    </row>
    <row r="18" spans="1:5" x14ac:dyDescent="0.2">
      <c r="A18" s="1">
        <v>32.514184184184202</v>
      </c>
      <c r="B18" s="1">
        <v>2178.5896315342202</v>
      </c>
      <c r="C18" s="1"/>
      <c r="D18" s="1"/>
      <c r="E18" s="1" t="b">
        <f>tblTNFa[[#This Row],[NetMFI]]&gt;B17</f>
        <v>1</v>
      </c>
    </row>
    <row r="19" spans="1:5" x14ac:dyDescent="0.2">
      <c r="A19" s="1">
        <v>34.515695695695698</v>
      </c>
      <c r="B19" s="1">
        <v>2350.6440206358602</v>
      </c>
      <c r="C19" s="1"/>
      <c r="D19" s="1"/>
      <c r="E19" s="1" t="b">
        <f>tblTNFa[[#This Row],[NetMFI]]&gt;B18</f>
        <v>1</v>
      </c>
    </row>
    <row r="20" spans="1:5" x14ac:dyDescent="0.2">
      <c r="A20" s="1">
        <v>36.5172072072072</v>
      </c>
      <c r="B20" s="1">
        <v>2523.45339041736</v>
      </c>
      <c r="C20" s="1"/>
      <c r="D20" s="1"/>
      <c r="E20" s="1" t="b">
        <f>tblTNFa[[#This Row],[NetMFI]]&gt;B19</f>
        <v>1</v>
      </c>
    </row>
    <row r="21" spans="1:5" x14ac:dyDescent="0.2">
      <c r="A21" s="1">
        <v>38.518718718718702</v>
      </c>
      <c r="B21" s="1">
        <v>2696.70054438024</v>
      </c>
      <c r="C21" s="1"/>
      <c r="D21" s="1"/>
      <c r="E21" s="1" t="b">
        <f>tblTNFa[[#This Row],[NetMFI]]&gt;B20</f>
        <v>1</v>
      </c>
    </row>
    <row r="22" spans="1:5" x14ac:dyDescent="0.2">
      <c r="A22" s="1">
        <v>40.520230230230197</v>
      </c>
      <c r="B22" s="1">
        <v>2870.0985274785598</v>
      </c>
      <c r="C22" s="1"/>
      <c r="D22" s="1"/>
      <c r="E22" s="1" t="b">
        <f>tblTNFa[[#This Row],[NetMFI]]&gt;B21</f>
        <v>1</v>
      </c>
    </row>
    <row r="23" spans="1:5" x14ac:dyDescent="0.2">
      <c r="A23" s="1">
        <v>42.5217417417417</v>
      </c>
      <c r="B23" s="1">
        <v>3043.3878520465</v>
      </c>
      <c r="C23" s="1"/>
      <c r="D23" s="1"/>
      <c r="E23" s="1" t="b">
        <f>tblTNFa[[#This Row],[NetMFI]]&gt;B22</f>
        <v>1</v>
      </c>
    </row>
    <row r="24" spans="1:5" x14ac:dyDescent="0.2">
      <c r="A24" s="1">
        <v>44.523253253253301</v>
      </c>
      <c r="B24" s="1">
        <v>3216.33405776676</v>
      </c>
      <c r="C24" s="1"/>
      <c r="D24" s="1"/>
      <c r="E24" s="1" t="b">
        <f>tblTNFa[[#This Row],[NetMFI]]&gt;B23</f>
        <v>1</v>
      </c>
    </row>
    <row r="25" spans="1:5" x14ac:dyDescent="0.2">
      <c r="A25" s="1">
        <v>46.524764764764797</v>
      </c>
      <c r="B25" s="1">
        <v>3388.72554463605</v>
      </c>
      <c r="C25" s="1"/>
      <c r="D25" s="1"/>
      <c r="E25" s="1" t="b">
        <f>tblTNFa[[#This Row],[NetMFI]]&gt;B24</f>
        <v>1</v>
      </c>
    </row>
    <row r="26" spans="1:5" x14ac:dyDescent="0.2">
      <c r="A26" s="1">
        <v>48.526276276276299</v>
      </c>
      <c r="B26" s="1">
        <v>3560.3716328293099</v>
      </c>
      <c r="C26" s="1"/>
      <c r="D26" s="1"/>
      <c r="E26" s="1" t="b">
        <f>tblTNFa[[#This Row],[NetMFI]]&gt;B25</f>
        <v>1</v>
      </c>
    </row>
    <row r="27" spans="1:5" x14ac:dyDescent="0.2">
      <c r="A27" s="1">
        <v>50.527787787787801</v>
      </c>
      <c r="B27" s="1">
        <v>3731.1008140895201</v>
      </c>
      <c r="C27" s="1"/>
      <c r="D27" s="1"/>
      <c r="E27" s="1" t="b">
        <f>tblTNFa[[#This Row],[NetMFI]]&gt;B26</f>
        <v>1</v>
      </c>
    </row>
    <row r="28" spans="1:5" x14ac:dyDescent="0.2">
      <c r="A28" s="1">
        <v>52.529299299299304</v>
      </c>
      <c r="B28" s="1">
        <v>3900.7591670732099</v>
      </c>
      <c r="C28" s="1"/>
      <c r="D28" s="1"/>
      <c r="E28" s="1" t="b">
        <f>tblTNFa[[#This Row],[NetMFI]]&gt;B27</f>
        <v>1</v>
      </c>
    </row>
    <row r="29" spans="1:5" x14ac:dyDescent="0.2">
      <c r="A29" s="1">
        <v>54.530810810810799</v>
      </c>
      <c r="B29" s="1">
        <v>4069.20891483267</v>
      </c>
      <c r="C29" s="1"/>
      <c r="D29" s="1"/>
      <c r="E29" s="1" t="b">
        <f>tblTNFa[[#This Row],[NetMFI]]&gt;B28</f>
        <v>1</v>
      </c>
    </row>
    <row r="30" spans="1:5" x14ac:dyDescent="0.2">
      <c r="A30" s="1">
        <v>56.532322322322301</v>
      </c>
      <c r="B30" s="1">
        <v>4236.3271069056</v>
      </c>
      <c r="C30" s="1"/>
      <c r="D30" s="1"/>
      <c r="E30" s="1" t="b">
        <f>tblTNFa[[#This Row],[NetMFI]]&gt;B29</f>
        <v>1</v>
      </c>
    </row>
    <row r="31" spans="1:5" x14ac:dyDescent="0.2">
      <c r="A31" s="1">
        <v>58.533833833833803</v>
      </c>
      <c r="B31" s="1">
        <v>4402.0044117197504</v>
      </c>
      <c r="C31" s="1"/>
      <c r="D31" s="1"/>
      <c r="E31" s="1" t="b">
        <f>tblTNFa[[#This Row],[NetMFI]]&gt;B30</f>
        <v>1</v>
      </c>
    </row>
    <row r="32" spans="1:5" x14ac:dyDescent="0.2">
      <c r="A32" s="1">
        <v>60.535345345345299</v>
      </c>
      <c r="B32" s="1">
        <v>4566.1440074904704</v>
      </c>
      <c r="C32" s="1"/>
      <c r="D32" s="1"/>
      <c r="E32" s="1" t="b">
        <f>tblTNFa[[#This Row],[NetMFI]]&gt;B31</f>
        <v>1</v>
      </c>
    </row>
    <row r="33" spans="1:5" x14ac:dyDescent="0.2">
      <c r="A33" s="1">
        <v>62.5368568568569</v>
      </c>
      <c r="B33" s="1">
        <v>4728.6605616960096</v>
      </c>
      <c r="C33" s="1"/>
      <c r="D33" s="1"/>
      <c r="E33" s="1" t="b">
        <f>tblTNFa[[#This Row],[NetMFI]]&gt;B32</f>
        <v>1</v>
      </c>
    </row>
    <row r="34" spans="1:5" x14ac:dyDescent="0.2">
      <c r="A34" s="1">
        <v>64.538368368368396</v>
      </c>
      <c r="B34" s="1">
        <v>4889.4792907041701</v>
      </c>
      <c r="C34" s="1"/>
      <c r="D34" s="1"/>
      <c r="E34" s="1" t="b">
        <f>tblTNFa[[#This Row],[NetMFI]]&gt;B33</f>
        <v>1</v>
      </c>
    </row>
    <row r="35" spans="1:5" x14ac:dyDescent="0.2">
      <c r="A35" s="1">
        <v>66.539879879879905</v>
      </c>
      <c r="B35" s="1">
        <v>5048.5350922994703</v>
      </c>
      <c r="C35" s="1"/>
      <c r="D35" s="1"/>
      <c r="E35" s="1" t="b">
        <f>tblTNFa[[#This Row],[NetMFI]]&gt;B34</f>
        <v>1</v>
      </c>
    </row>
    <row r="36" spans="1:5" x14ac:dyDescent="0.2">
      <c r="A36" s="1">
        <v>68.5413913913914</v>
      </c>
      <c r="B36" s="1">
        <v>5205.7717448003696</v>
      </c>
      <c r="C36" s="1"/>
      <c r="D36" s="1"/>
      <c r="E36" s="1" t="b">
        <f>tblTNFa[[#This Row],[NetMFI]]&gt;B35</f>
        <v>1</v>
      </c>
    </row>
    <row r="37" spans="1:5" x14ac:dyDescent="0.2">
      <c r="A37" s="1">
        <v>70.542902902902895</v>
      </c>
      <c r="B37" s="1">
        <v>5361.1411672164004</v>
      </c>
      <c r="C37" s="1"/>
      <c r="D37" s="1"/>
      <c r="E37" s="1" t="b">
        <f>tblTNFa[[#This Row],[NetMFI]]&gt;B36</f>
        <v>1</v>
      </c>
    </row>
    <row r="38" spans="1:5" x14ac:dyDescent="0.2">
      <c r="A38" s="1">
        <v>72.544414414414405</v>
      </c>
      <c r="B38" s="1">
        <v>5514.6027355183696</v>
      </c>
      <c r="C38" s="1"/>
      <c r="D38" s="1"/>
      <c r="E38" s="1" t="b">
        <f>tblTNFa[[#This Row],[NetMFI]]&gt;B37</f>
        <v>1</v>
      </c>
    </row>
    <row r="39" spans="1:5" x14ac:dyDescent="0.2">
      <c r="A39" s="1">
        <v>74.5459259259259</v>
      </c>
      <c r="B39" s="1">
        <v>5666.1226506120001</v>
      </c>
      <c r="C39" s="1"/>
      <c r="D39" s="1"/>
      <c r="E39" s="1" t="b">
        <f>tblTNFa[[#This Row],[NetMFI]]&gt;B38</f>
        <v>1</v>
      </c>
    </row>
    <row r="40" spans="1:5" x14ac:dyDescent="0.2">
      <c r="A40" s="1">
        <v>76.547437437437395</v>
      </c>
      <c r="B40" s="1">
        <v>5815.6733540400401</v>
      </c>
      <c r="C40" s="1"/>
      <c r="D40" s="1"/>
      <c r="E40" s="1" t="b">
        <f>tblTNFa[[#This Row],[NetMFI]]&gt;B39</f>
        <v>1</v>
      </c>
    </row>
    <row r="41" spans="1:5" x14ac:dyDescent="0.2">
      <c r="A41" s="1">
        <v>78.548948948948905</v>
      </c>
      <c r="B41" s="1">
        <v>5963.2329878072596</v>
      </c>
      <c r="C41" s="1"/>
      <c r="D41" s="1"/>
      <c r="E41" s="1" t="b">
        <f>tblTNFa[[#This Row],[NetMFI]]&gt;B40</f>
        <v>1</v>
      </c>
    </row>
    <row r="42" spans="1:5" x14ac:dyDescent="0.2">
      <c r="A42" s="1">
        <v>80.550460460460499</v>
      </c>
      <c r="B42" s="1">
        <v>6108.78489504154</v>
      </c>
      <c r="C42" s="1"/>
      <c r="D42" s="1"/>
      <c r="E42" s="1" t="b">
        <f>tblTNFa[[#This Row],[NetMFI]]&gt;B41</f>
        <v>1</v>
      </c>
    </row>
    <row r="43" spans="1:5" x14ac:dyDescent="0.2">
      <c r="A43" s="1">
        <v>82.551971971971994</v>
      </c>
      <c r="B43" s="1">
        <v>6252.3171584812098</v>
      </c>
      <c r="C43" s="1"/>
      <c r="D43" s="1"/>
      <c r="E43" s="1" t="b">
        <f>tblTNFa[[#This Row],[NetMFI]]&gt;B42</f>
        <v>1</v>
      </c>
    </row>
    <row r="44" spans="1:5" x14ac:dyDescent="0.2">
      <c r="A44" s="1">
        <v>84.553483483483504</v>
      </c>
      <c r="B44" s="1">
        <v>6393.8221740224799</v>
      </c>
      <c r="C44" s="1"/>
      <c r="D44" s="1"/>
      <c r="E44" s="1" t="b">
        <f>tblTNFa[[#This Row],[NetMFI]]&gt;B43</f>
        <v>1</v>
      </c>
    </row>
    <row r="45" spans="1:5" x14ac:dyDescent="0.2">
      <c r="A45" s="1">
        <v>86.554994994994999</v>
      </c>
      <c r="B45" s="1">
        <v>6533.2962567780196</v>
      </c>
      <c r="C45" s="1"/>
      <c r="D45" s="1"/>
      <c r="E45" s="1" t="b">
        <f>tblTNFa[[#This Row],[NetMFI]]&gt;B44</f>
        <v>1</v>
      </c>
    </row>
    <row r="46" spans="1:5" x14ac:dyDescent="0.2">
      <c r="A46" s="1">
        <v>88.556506506506494</v>
      </c>
      <c r="B46" s="1">
        <v>6670.7392772912899</v>
      </c>
      <c r="C46" s="1"/>
      <c r="D46" s="1"/>
      <c r="E46" s="1" t="b">
        <f>tblTNFa[[#This Row],[NetMFI]]&gt;B45</f>
        <v>1</v>
      </c>
    </row>
    <row r="47" spans="1:5" x14ac:dyDescent="0.2">
      <c r="A47" s="1">
        <v>90.558018018018004</v>
      </c>
      <c r="B47" s="1">
        <v>6806.1543257269004</v>
      </c>
      <c r="C47" s="1"/>
      <c r="D47" s="1"/>
      <c r="E47" s="1" t="b">
        <f>tblTNFa[[#This Row],[NetMFI]]&gt;B46</f>
        <v>1</v>
      </c>
    </row>
    <row r="48" spans="1:5" x14ac:dyDescent="0.2">
      <c r="A48" s="1">
        <v>92.559529529529499</v>
      </c>
      <c r="B48" s="1">
        <v>6939.54740201615</v>
      </c>
      <c r="C48" s="1"/>
      <c r="D48" s="1"/>
      <c r="E48" s="1" t="b">
        <f>tblTNFa[[#This Row],[NetMFI]]&gt;B47</f>
        <v>1</v>
      </c>
    </row>
    <row r="49" spans="1:5" x14ac:dyDescent="0.2">
      <c r="A49" s="1">
        <v>94.561041041040994</v>
      </c>
      <c r="B49" s="1">
        <v>7070.9271300826604</v>
      </c>
      <c r="C49" s="1"/>
      <c r="D49" s="1"/>
      <c r="E49" s="1" t="b">
        <f>tblTNFa[[#This Row],[NetMFI]]&gt;B48</f>
        <v>1</v>
      </c>
    </row>
    <row r="50" spans="1:5" x14ac:dyDescent="0.2">
      <c r="A50" s="1">
        <v>96.562552552552603</v>
      </c>
      <c r="B50" s="1">
        <v>7200.3044944063304</v>
      </c>
      <c r="C50" s="1"/>
      <c r="D50" s="1"/>
      <c r="E50" s="1" t="b">
        <f>tblTNFa[[#This Row],[NetMFI]]&gt;B49</f>
        <v>1</v>
      </c>
    </row>
    <row r="51" spans="1:5" x14ac:dyDescent="0.2">
      <c r="A51" s="1">
        <v>98.564064064064098</v>
      </c>
      <c r="B51" s="1">
        <v>7327.69259730679</v>
      </c>
      <c r="C51" s="1"/>
      <c r="D51" s="1"/>
      <c r="E51" s="1" t="b">
        <f>tblTNFa[[#This Row],[NetMFI]]&gt;B50</f>
        <v>1</v>
      </c>
    </row>
    <row r="52" spans="1:5" x14ac:dyDescent="0.2">
      <c r="A52" s="1">
        <v>100.56557557557601</v>
      </c>
      <c r="B52" s="1">
        <v>7453.1064354415003</v>
      </c>
      <c r="C52" s="1"/>
      <c r="D52" s="1"/>
      <c r="E52" s="1" t="b">
        <f>tblTNFa[[#This Row],[NetMFI]]&gt;B51</f>
        <v>1</v>
      </c>
    </row>
    <row r="53" spans="1:5" x14ac:dyDescent="0.2">
      <c r="A53" s="1">
        <v>102.567087087087</v>
      </c>
      <c r="B53" s="1">
        <v>7576.5626941185201</v>
      </c>
      <c r="C53" s="1"/>
      <c r="D53" s="1"/>
      <c r="E53" s="1" t="b">
        <f>tblTNFa[[#This Row],[NetMFI]]&gt;B52</f>
        <v>1</v>
      </c>
    </row>
    <row r="54" spans="1:5" x14ac:dyDescent="0.2">
      <c r="A54" s="1">
        <v>104.568598598599</v>
      </c>
      <c r="B54" s="1">
        <v>7698.0795581222801</v>
      </c>
      <c r="C54" s="1"/>
      <c r="D54" s="1"/>
      <c r="E54" s="1" t="b">
        <f>tblTNFa[[#This Row],[NetMFI]]&gt;B53</f>
        <v>1</v>
      </c>
    </row>
    <row r="55" spans="1:5" x14ac:dyDescent="0.2">
      <c r="A55" s="1">
        <v>106.57011011010999</v>
      </c>
      <c r="B55" s="1">
        <v>7817.67653784093</v>
      </c>
      <c r="C55" s="1"/>
      <c r="D55" s="1"/>
      <c r="E55" s="1" t="b">
        <f>tblTNFa[[#This Row],[NetMFI]]&gt;B54</f>
        <v>1</v>
      </c>
    </row>
    <row r="56" spans="1:5" x14ac:dyDescent="0.2">
      <c r="A56" s="1">
        <v>108.571621621622</v>
      </c>
      <c r="B56" s="1">
        <v>7935.3743095691598</v>
      </c>
      <c r="C56" s="1"/>
      <c r="D56" s="1"/>
      <c r="E56" s="1" t="b">
        <f>tblTNFa[[#This Row],[NetMFI]]&gt;B55</f>
        <v>1</v>
      </c>
    </row>
    <row r="57" spans="1:5" x14ac:dyDescent="0.2">
      <c r="A57" s="1">
        <v>110.573133133133</v>
      </c>
      <c r="B57" s="1">
        <v>8051.1945689385202</v>
      </c>
      <c r="C57" s="1"/>
      <c r="D57" s="1"/>
      <c r="E57" s="1" t="b">
        <f>tblTNFa[[#This Row],[NetMFI]]&gt;B56</f>
        <v>1</v>
      </c>
    </row>
    <row r="58" spans="1:5" x14ac:dyDescent="0.2">
      <c r="A58" s="1">
        <v>112.57464464464501</v>
      </c>
      <c r="B58" s="1">
        <v>8165.1598965012599</v>
      </c>
      <c r="C58" s="1"/>
      <c r="D58" s="1"/>
      <c r="E58" s="1" t="b">
        <f>tblTNFa[[#This Row],[NetMFI]]&gt;B57</f>
        <v>1</v>
      </c>
    </row>
    <row r="59" spans="1:5" x14ac:dyDescent="0.2">
      <c r="A59" s="1">
        <v>114.576156156156</v>
      </c>
      <c r="B59" s="1">
        <v>8277.2936345618291</v>
      </c>
      <c r="C59" s="1"/>
      <c r="D59" s="1"/>
      <c r="E59" s="1" t="b">
        <f>tblTNFa[[#This Row],[NetMFI]]&gt;B58</f>
        <v>1</v>
      </c>
    </row>
    <row r="60" spans="1:5" x14ac:dyDescent="0.2">
      <c r="A60" s="1">
        <v>116.577667667668</v>
      </c>
      <c r="B60" s="1">
        <v>8387.6197744142792</v>
      </c>
      <c r="C60" s="1"/>
      <c r="D60" s="1"/>
      <c r="E60" s="1" t="b">
        <f>tblTNFa[[#This Row],[NetMFI]]&gt;B59</f>
        <v>1</v>
      </c>
    </row>
    <row r="61" spans="1:5" x14ac:dyDescent="0.2">
      <c r="A61" s="1">
        <v>118.57917917917899</v>
      </c>
      <c r="B61" s="1">
        <v>8496.16285320313</v>
      </c>
      <c r="C61" s="1"/>
      <c r="D61" s="1"/>
      <c r="E61" s="1" t="b">
        <f>tblTNFa[[#This Row],[NetMFI]]&gt;B60</f>
        <v>1</v>
      </c>
    </row>
    <row r="62" spans="1:5" x14ac:dyDescent="0.2">
      <c r="A62" s="1">
        <v>120.580690690691</v>
      </c>
      <c r="B62" s="1">
        <v>8602.9478596812296</v>
      </c>
      <c r="C62" s="1"/>
      <c r="D62" s="1"/>
      <c r="E62" s="1" t="b">
        <f>tblTNFa[[#This Row],[NetMFI]]&gt;B61</f>
        <v>1</v>
      </c>
    </row>
    <row r="63" spans="1:5" x14ac:dyDescent="0.2">
      <c r="A63" s="1">
        <v>122.582202202202</v>
      </c>
      <c r="B63" s="1">
        <v>8708.0001481893196</v>
      </c>
      <c r="C63" s="1"/>
      <c r="D63" s="1"/>
      <c r="E63" s="1" t="b">
        <f>tblTNFa[[#This Row],[NetMFI]]&gt;B62</f>
        <v>1</v>
      </c>
    </row>
    <row r="64" spans="1:5" x14ac:dyDescent="0.2">
      <c r="A64" s="1">
        <v>124.583713713714</v>
      </c>
      <c r="B64" s="1">
        <v>8811.3453602309401</v>
      </c>
      <c r="C64" s="1"/>
      <c r="D64" s="1"/>
      <c r="E64" s="1" t="b">
        <f>tblTNFa[[#This Row],[NetMFI]]&gt;B63</f>
        <v>1</v>
      </c>
    </row>
    <row r="65" spans="1:5" x14ac:dyDescent="0.2">
      <c r="A65" s="1">
        <v>126.585225225225</v>
      </c>
      <c r="B65" s="1">
        <v>8913.0093530608701</v>
      </c>
      <c r="C65" s="1"/>
      <c r="D65" s="1"/>
      <c r="E65" s="1" t="b">
        <f>tblTNFa[[#This Row],[NetMFI]]&gt;B64</f>
        <v>1</v>
      </c>
    </row>
    <row r="66" spans="1:5" x14ac:dyDescent="0.2">
      <c r="A66" s="1">
        <v>128.58673673673701</v>
      </c>
      <c r="B66" s="1">
        <v>9013.01813474747</v>
      </c>
      <c r="C66" s="1"/>
      <c r="D66" s="1"/>
      <c r="E66" s="1" t="b">
        <f>tblTNFa[[#This Row],[NetMFI]]&gt;B65</f>
        <v>1</v>
      </c>
    </row>
    <row r="67" spans="1:5" x14ac:dyDescent="0.2">
      <c r="A67" s="1">
        <v>130.58824824824799</v>
      </c>
      <c r="B67" s="1">
        <v>9111.3978052081493</v>
      </c>
      <c r="C67" s="1"/>
      <c r="D67" s="1"/>
      <c r="E67" s="1" t="b">
        <f>tblTNFa[[#This Row],[NetMFI]]&gt;B66</f>
        <v>1</v>
      </c>
    </row>
    <row r="68" spans="1:5" x14ac:dyDescent="0.2">
      <c r="A68" s="1">
        <v>132.58975975976</v>
      </c>
      <c r="B68" s="1">
        <v>9208.1745027538509</v>
      </c>
      <c r="C68" s="1"/>
      <c r="D68" s="1"/>
      <c r="E68" s="1" t="b">
        <f>tblTNFa[[#This Row],[NetMFI]]&gt;B67</f>
        <v>1</v>
      </c>
    </row>
    <row r="69" spans="1:5" x14ac:dyDescent="0.2">
      <c r="A69" s="1">
        <v>134.59127127127101</v>
      </c>
      <c r="B69" s="1">
        <v>9303.3743557120397</v>
      </c>
      <c r="C69" s="1"/>
      <c r="D69" s="1"/>
      <c r="E69" s="1" t="b">
        <f>tblTNFa[[#This Row],[NetMFI]]&gt;B68</f>
        <v>1</v>
      </c>
    </row>
    <row r="70" spans="1:5" x14ac:dyDescent="0.2">
      <c r="A70" s="1">
        <v>136.59278278278299</v>
      </c>
      <c r="B70" s="1">
        <v>9397.0234387292403</v>
      </c>
      <c r="C70" s="1"/>
      <c r="D70" s="1"/>
      <c r="E70" s="1" t="b">
        <f>tblTNFa[[#This Row],[NetMFI]]&gt;B69</f>
        <v>1</v>
      </c>
    </row>
    <row r="71" spans="1:5" x14ac:dyDescent="0.2">
      <c r="A71" s="1">
        <v>138.594294294294</v>
      </c>
      <c r="B71" s="1">
        <v>9489.1477333836301</v>
      </c>
      <c r="C71" s="1"/>
      <c r="D71" s="1"/>
      <c r="E71" s="1" t="b">
        <f>tblTNFa[[#This Row],[NetMFI]]&gt;B70</f>
        <v>1</v>
      </c>
    </row>
    <row r="72" spans="1:5" x14ac:dyDescent="0.2">
      <c r="A72" s="1">
        <v>140.59580580580601</v>
      </c>
      <c r="B72" s="1">
        <v>9579.7730927652592</v>
      </c>
      <c r="C72" s="1"/>
      <c r="D72" s="1"/>
      <c r="E72" s="1" t="b">
        <f>tblTNFa[[#This Row],[NetMFI]]&gt;B71</f>
        <v>1</v>
      </c>
    </row>
    <row r="73" spans="1:5" x14ac:dyDescent="0.2">
      <c r="A73" s="1">
        <v>142.59731731731699</v>
      </c>
      <c r="B73" s="1">
        <v>9668.9252097069402</v>
      </c>
      <c r="C73" s="1"/>
      <c r="D73" s="1"/>
      <c r="E73" s="1" t="b">
        <f>tblTNFa[[#This Row],[NetMFI]]&gt;B72</f>
        <v>1</v>
      </c>
    </row>
    <row r="74" spans="1:5" x14ac:dyDescent="0.2">
      <c r="A74" s="1">
        <v>144.598828828829</v>
      </c>
      <c r="B74" s="1">
        <v>9756.6295883722905</v>
      </c>
      <c r="C74" s="1"/>
      <c r="D74" s="1"/>
      <c r="E74" s="1" t="b">
        <f>tblTNFa[[#This Row],[NetMFI]]&gt;B73</f>
        <v>1</v>
      </c>
    </row>
    <row r="75" spans="1:5" x14ac:dyDescent="0.2">
      <c r="A75" s="1">
        <v>146.60034034034001</v>
      </c>
      <c r="B75" s="1">
        <v>9842.9115189294298</v>
      </c>
      <c r="C75" s="1"/>
      <c r="D75" s="1"/>
      <c r="E75" s="1" t="b">
        <f>tblTNFa[[#This Row],[NetMFI]]&gt;B74</f>
        <v>1</v>
      </c>
    </row>
    <row r="76" spans="1:5" x14ac:dyDescent="0.2">
      <c r="A76" s="1">
        <v>148.60185185185199</v>
      </c>
      <c r="B76" s="1">
        <v>9927.7960550588905</v>
      </c>
      <c r="C76" s="1"/>
      <c r="D76" s="1"/>
      <c r="E76" s="1" t="b">
        <f>tblTNFa[[#This Row],[NetMFI]]&gt;B75</f>
        <v>1</v>
      </c>
    </row>
    <row r="77" spans="1:5" x14ac:dyDescent="0.2">
      <c r="A77" s="1">
        <v>150.603363363363</v>
      </c>
      <c r="B77" s="1">
        <v>10011.3079940635</v>
      </c>
      <c r="C77" s="1"/>
      <c r="D77" s="1"/>
      <c r="E77" s="1" t="b">
        <f>tblTNFa[[#This Row],[NetMFI]]&gt;B76</f>
        <v>1</v>
      </c>
    </row>
    <row r="78" spans="1:5" x14ac:dyDescent="0.2">
      <c r="A78" s="1">
        <v>152.60487487487501</v>
      </c>
      <c r="B78" s="1">
        <v>10093.4718593654</v>
      </c>
      <c r="C78" s="1"/>
      <c r="D78" s="1"/>
      <c r="E78" s="1" t="b">
        <f>tblTNFa[[#This Row],[NetMFI]]&gt;B77</f>
        <v>1</v>
      </c>
    </row>
    <row r="79" spans="1:5" x14ac:dyDescent="0.2">
      <c r="A79" s="1">
        <v>154.60638638638599</v>
      </c>
      <c r="B79" s="1">
        <v>10174.3118851907</v>
      </c>
      <c r="C79" s="1"/>
      <c r="D79" s="1"/>
      <c r="E79" s="1" t="b">
        <f>tblTNFa[[#This Row],[NetMFI]]&gt;B78</f>
        <v>1</v>
      </c>
    </row>
    <row r="80" spans="1:5" x14ac:dyDescent="0.2">
      <c r="A80" s="1">
        <v>156.607897897898</v>
      </c>
      <c r="B80" s="1">
        <v>10253.852003260001</v>
      </c>
      <c r="C80" s="1"/>
      <c r="D80" s="1"/>
      <c r="E80" s="1" t="b">
        <f>tblTNFa[[#This Row],[NetMFI]]&gt;B79</f>
        <v>1</v>
      </c>
    </row>
    <row r="81" spans="1:5" x14ac:dyDescent="0.2">
      <c r="A81" s="1">
        <v>158.60940940940901</v>
      </c>
      <c r="B81" s="1">
        <v>10332.115831313</v>
      </c>
      <c r="C81" s="1"/>
      <c r="D81" s="1"/>
      <c r="E81" s="1" t="b">
        <f>tblTNFa[[#This Row],[NetMFI]]&gt;B80</f>
        <v>1</v>
      </c>
    </row>
    <row r="82" spans="1:5" x14ac:dyDescent="0.2">
      <c r="A82" s="1">
        <v>160.61092092092099</v>
      </c>
      <c r="B82" s="1">
        <v>10409.126663311699</v>
      </c>
      <c r="C82" s="1"/>
      <c r="D82" s="1"/>
      <c r="E82" s="1" t="b">
        <f>tblTNFa[[#This Row],[NetMFI]]&gt;B81</f>
        <v>1</v>
      </c>
    </row>
    <row r="83" spans="1:5" x14ac:dyDescent="0.2">
      <c r="A83" s="1">
        <v>162.612432432432</v>
      </c>
      <c r="B83" s="1">
        <v>10484.907461177499</v>
      </c>
      <c r="C83" s="1"/>
      <c r="D83" s="1"/>
      <c r="E83" s="1" t="b">
        <f>tblTNFa[[#This Row],[NetMFI]]&gt;B82</f>
        <v>1</v>
      </c>
    </row>
    <row r="84" spans="1:5" x14ac:dyDescent="0.2">
      <c r="A84" s="1">
        <v>164.61394394394401</v>
      </c>
      <c r="B84" s="1">
        <v>10559.4808479288</v>
      </c>
      <c r="C84" s="1"/>
      <c r="D84" s="1"/>
      <c r="E84" s="1" t="b">
        <f>tblTNFa[[#This Row],[NetMFI]]&gt;B83</f>
        <v>1</v>
      </c>
    </row>
    <row r="85" spans="1:5" x14ac:dyDescent="0.2">
      <c r="A85" s="1">
        <v>166.61545545545499</v>
      </c>
      <c r="B85" s="1">
        <v>10632.869102094401</v>
      </c>
      <c r="C85" s="1"/>
      <c r="D85" s="1"/>
      <c r="E85" s="1" t="b">
        <f>tblTNFa[[#This Row],[NetMFI]]&gt;B84</f>
        <v>1</v>
      </c>
    </row>
    <row r="86" spans="1:5" x14ac:dyDescent="0.2">
      <c r="A86" s="1">
        <v>168.616966966967</v>
      </c>
      <c r="B86" s="1">
        <v>10705.0941532918</v>
      </c>
      <c r="C86" s="1"/>
      <c r="D86" s="1"/>
      <c r="E86" s="1" t="b">
        <f>tblTNFa[[#This Row],[NetMFI]]&gt;B85</f>
        <v>1</v>
      </c>
    </row>
    <row r="87" spans="1:5" x14ac:dyDescent="0.2">
      <c r="A87" s="1">
        <v>170.61847847847801</v>
      </c>
      <c r="B87" s="1">
        <v>10776.1775788621</v>
      </c>
      <c r="C87" s="1"/>
      <c r="D87" s="1"/>
      <c r="E87" s="1" t="b">
        <f>tblTNFa[[#This Row],[NetMFI]]&gt;B86</f>
        <v>1</v>
      </c>
    </row>
    <row r="88" spans="1:5" x14ac:dyDescent="0.2">
      <c r="A88" s="1">
        <v>172.61998998998999</v>
      </c>
      <c r="B88" s="1">
        <v>10846.1406014681</v>
      </c>
      <c r="C88" s="1"/>
      <c r="D88" s="1"/>
      <c r="E88" s="1" t="b">
        <f>tblTNFa[[#This Row],[NetMFI]]&gt;B87</f>
        <v>1</v>
      </c>
    </row>
    <row r="89" spans="1:5" x14ac:dyDescent="0.2">
      <c r="A89" s="1">
        <v>174.621501501502</v>
      </c>
      <c r="B89" s="1">
        <v>10915.004087564201</v>
      </c>
      <c r="C89" s="1"/>
      <c r="D89" s="1"/>
      <c r="E89" s="1" t="b">
        <f>tblTNFa[[#This Row],[NetMFI]]&gt;B88</f>
        <v>1</v>
      </c>
    </row>
    <row r="90" spans="1:5" x14ac:dyDescent="0.2">
      <c r="A90" s="1">
        <v>176.62301301301301</v>
      </c>
      <c r="B90" s="1">
        <v>10982.788546657501</v>
      </c>
      <c r="C90" s="1"/>
      <c r="D90" s="1"/>
      <c r="E90" s="1" t="b">
        <f>tblTNFa[[#This Row],[NetMFI]]&gt;B89</f>
        <v>1</v>
      </c>
    </row>
    <row r="91" spans="1:5" x14ac:dyDescent="0.2">
      <c r="A91" s="1">
        <v>178.62452452452499</v>
      </c>
      <c r="B91" s="1">
        <v>11049.5141312829</v>
      </c>
      <c r="C91" s="1"/>
      <c r="D91" s="1"/>
      <c r="E91" s="1" t="b">
        <f>tblTNFa[[#This Row],[NetMFI]]&gt;B90</f>
        <v>1</v>
      </c>
    </row>
    <row r="92" spans="1:5" x14ac:dyDescent="0.2">
      <c r="A92" s="1">
        <v>180.626036036036</v>
      </c>
      <c r="B92" s="1">
        <v>11115.200637625199</v>
      </c>
      <c r="C92" s="1"/>
      <c r="D92" s="1"/>
      <c r="E92" s="1" t="b">
        <f>tblTNFa[[#This Row],[NetMFI]]&gt;B91</f>
        <v>1</v>
      </c>
    </row>
    <row r="93" spans="1:5" x14ac:dyDescent="0.2">
      <c r="A93" s="1">
        <v>182.62754754754801</v>
      </c>
      <c r="B93" s="1">
        <v>11179.867506721001</v>
      </c>
      <c r="C93" s="1"/>
      <c r="D93" s="1"/>
      <c r="E93" s="1" t="b">
        <f>tblTNFa[[#This Row],[NetMFI]]&gt;B92</f>
        <v>1</v>
      </c>
    </row>
    <row r="94" spans="1:5" x14ac:dyDescent="0.2">
      <c r="A94" s="1">
        <v>184.62905905905899</v>
      </c>
      <c r="B94" s="1">
        <v>11243.533826184401</v>
      </c>
      <c r="C94" s="1"/>
      <c r="D94" s="1"/>
      <c r="E94" s="1" t="b">
        <f>tblTNFa[[#This Row],[NetMFI]]&gt;B93</f>
        <v>1</v>
      </c>
    </row>
    <row r="95" spans="1:5" x14ac:dyDescent="0.2">
      <c r="A95" s="1">
        <v>186.630570570571</v>
      </c>
      <c r="B95" s="1">
        <v>11306.2183324003</v>
      </c>
      <c r="C95" s="1"/>
      <c r="D95" s="1"/>
      <c r="E95" s="1" t="b">
        <f>tblTNFa[[#This Row],[NetMFI]]&gt;B94</f>
        <v>1</v>
      </c>
    </row>
    <row r="96" spans="1:5" x14ac:dyDescent="0.2">
      <c r="A96" s="1">
        <v>188.63208208208201</v>
      </c>
      <c r="B96" s="1">
        <v>11367.939413136401</v>
      </c>
      <c r="C96" s="1"/>
      <c r="D96" s="1"/>
      <c r="E96" s="1" t="b">
        <f>tblTNFa[[#This Row],[NetMFI]]&gt;B95</f>
        <v>1</v>
      </c>
    </row>
    <row r="97" spans="1:5" x14ac:dyDescent="0.2">
      <c r="A97" s="1">
        <v>190.63359359359399</v>
      </c>
      <c r="B97" s="1">
        <v>11428.7151105292</v>
      </c>
      <c r="C97" s="1"/>
      <c r="D97" s="1"/>
      <c r="E97" s="1" t="b">
        <f>tblTNFa[[#This Row],[NetMFI]]&gt;B96</f>
        <v>1</v>
      </c>
    </row>
    <row r="98" spans="1:5" x14ac:dyDescent="0.2">
      <c r="A98" s="1">
        <v>192.635105105105</v>
      </c>
      <c r="B98" s="1">
        <v>11488.563124399299</v>
      </c>
      <c r="C98" s="1"/>
      <c r="D98" s="1"/>
      <c r="E98" s="1" t="b">
        <f>tblTNFa[[#This Row],[NetMFI]]&gt;B97</f>
        <v>1</v>
      </c>
    </row>
    <row r="99" spans="1:5" x14ac:dyDescent="0.2">
      <c r="A99" s="1">
        <v>194.636616616617</v>
      </c>
      <c r="B99" s="1">
        <v>11547.500815861</v>
      </c>
      <c r="C99" s="1"/>
      <c r="D99" s="1"/>
      <c r="E99" s="1" t="b">
        <f>tblTNFa[[#This Row],[NetMFI]]&gt;B98</f>
        <v>1</v>
      </c>
    </row>
    <row r="100" spans="1:5" x14ac:dyDescent="0.2">
      <c r="A100" s="1">
        <v>196.63812812812799</v>
      </c>
      <c r="B100" s="1">
        <v>11605.5452111875</v>
      </c>
      <c r="C100" s="1"/>
      <c r="D100" s="1"/>
      <c r="E100" s="1" t="b">
        <f>tblTNFa[[#This Row],[NetMFI]]&gt;B99</f>
        <v>1</v>
      </c>
    </row>
    <row r="101" spans="1:5" x14ac:dyDescent="0.2">
      <c r="A101" s="1">
        <v>198.63963963964</v>
      </c>
      <c r="B101" s="1">
        <v>11662.713005903001</v>
      </c>
      <c r="C101" s="1"/>
      <c r="D101" s="1"/>
      <c r="E101" s="1" t="b">
        <f>tblTNFa[[#This Row],[NetMFI]]&gt;B100</f>
        <v>1</v>
      </c>
    </row>
    <row r="102" spans="1:5" x14ac:dyDescent="0.2">
      <c r="A102" s="1">
        <v>200.64115115115101</v>
      </c>
      <c r="B102" s="1">
        <v>11719.020569068</v>
      </c>
      <c r="C102" s="1"/>
      <c r="D102" s="1"/>
      <c r="E102" s="1" t="b">
        <f>tblTNFa[[#This Row],[NetMFI]]&gt;B101</f>
        <v>1</v>
      </c>
    </row>
    <row r="103" spans="1:5" x14ac:dyDescent="0.2">
      <c r="A103" s="1">
        <v>202.64266266266301</v>
      </c>
      <c r="B103" s="1">
        <v>11774.4839477349</v>
      </c>
      <c r="C103" s="1"/>
      <c r="D103" s="1"/>
      <c r="E103" s="1" t="b">
        <f>tblTNFa[[#This Row],[NetMFI]]&gt;B102</f>
        <v>1</v>
      </c>
    </row>
    <row r="104" spans="1:5" x14ac:dyDescent="0.2">
      <c r="A104" s="1">
        <v>204.644174174174</v>
      </c>
      <c r="B104" s="1">
        <v>11829.118871545499</v>
      </c>
      <c r="C104" s="1"/>
      <c r="D104" s="1"/>
      <c r="E104" s="1" t="b">
        <f>tblTNFa[[#This Row],[NetMFI]]&gt;B103</f>
        <v>1</v>
      </c>
    </row>
    <row r="105" spans="1:5" x14ac:dyDescent="0.2">
      <c r="A105" s="1">
        <v>206.645685685686</v>
      </c>
      <c r="B105" s="1">
        <v>11882.9407574507</v>
      </c>
      <c r="C105" s="1"/>
      <c r="D105" s="1"/>
      <c r="E105" s="1" t="b">
        <f>tblTNFa[[#This Row],[NetMFI]]&gt;B104</f>
        <v>1</v>
      </c>
    </row>
    <row r="106" spans="1:5" x14ac:dyDescent="0.2">
      <c r="A106" s="1">
        <v>208.64719719719699</v>
      </c>
      <c r="B106" s="1">
        <v>11935.9647145296</v>
      </c>
      <c r="C106" s="1"/>
      <c r="D106" s="1"/>
      <c r="E106" s="1" t="b">
        <f>tblTNFa[[#This Row],[NetMFI]]&gt;B105</f>
        <v>1</v>
      </c>
    </row>
    <row r="107" spans="1:5" x14ac:dyDescent="0.2">
      <c r="A107" s="1">
        <v>210.64870870870899</v>
      </c>
      <c r="B107" s="1">
        <v>11988.205548890701</v>
      </c>
      <c r="C107" s="1"/>
      <c r="D107" s="1"/>
      <c r="E107" s="1" t="b">
        <f>tblTNFa[[#This Row],[NetMFI]]&gt;B106</f>
        <v>1</v>
      </c>
    </row>
    <row r="108" spans="1:5" x14ac:dyDescent="0.2">
      <c r="A108" s="1">
        <v>212.65022022022001</v>
      </c>
      <c r="B108" s="1">
        <v>12039.677768637101</v>
      </c>
      <c r="C108" s="1"/>
      <c r="D108" s="1"/>
      <c r="E108" s="1" t="b">
        <f>tblTNFa[[#This Row],[NetMFI]]&gt;B107</f>
        <v>1</v>
      </c>
    </row>
    <row r="109" spans="1:5" x14ac:dyDescent="0.2">
      <c r="A109" s="1">
        <v>214.65173173173201</v>
      </c>
      <c r="B109" s="1">
        <v>12090.3955888809</v>
      </c>
      <c r="C109" s="1"/>
      <c r="D109" s="1"/>
      <c r="E109" s="1" t="b">
        <f>tblTNFa[[#This Row],[NetMFI]]&gt;B108</f>
        <v>1</v>
      </c>
    </row>
    <row r="110" spans="1:5" x14ac:dyDescent="0.2">
      <c r="A110" s="1">
        <v>216.653243243243</v>
      </c>
      <c r="B110" s="1">
        <v>12140.3729367919</v>
      </c>
      <c r="C110" s="1"/>
      <c r="D110" s="1"/>
      <c r="E110" s="1" t="b">
        <f>tblTNFa[[#This Row],[NetMFI]]&gt;B109</f>
        <v>1</v>
      </c>
    </row>
    <row r="111" spans="1:5" x14ac:dyDescent="0.2">
      <c r="A111" s="1">
        <v>218.654754754755</v>
      </c>
      <c r="B111" s="1">
        <v>12189.6234566682</v>
      </c>
      <c r="C111" s="1"/>
      <c r="D111" s="1"/>
      <c r="E111" s="1" t="b">
        <f>tblTNFa[[#This Row],[NetMFI]]&gt;B110</f>
        <v>1</v>
      </c>
    </row>
    <row r="112" spans="1:5" x14ac:dyDescent="0.2">
      <c r="A112" s="1">
        <v>220.65626626626599</v>
      </c>
      <c r="B112" s="1">
        <v>12238.1605150173</v>
      </c>
      <c r="C112" s="1"/>
      <c r="D112" s="1"/>
      <c r="E112" s="1" t="b">
        <f>tblTNFa[[#This Row],[NetMFI]]&gt;B111</f>
        <v>1</v>
      </c>
    </row>
    <row r="113" spans="1:5" x14ac:dyDescent="0.2">
      <c r="A113" s="1">
        <v>222.65777777777799</v>
      </c>
      <c r="B113" s="1">
        <v>12285.997205637001</v>
      </c>
      <c r="C113" s="1"/>
      <c r="D113" s="1"/>
      <c r="E113" s="1" t="b">
        <f>tblTNFa[[#This Row],[NetMFI]]&gt;B112</f>
        <v>1</v>
      </c>
    </row>
    <row r="114" spans="1:5" x14ac:dyDescent="0.2">
      <c r="A114" s="1">
        <v>224.65928928928901</v>
      </c>
      <c r="B114" s="1">
        <v>12333.146354685899</v>
      </c>
      <c r="C114" s="1"/>
      <c r="D114" s="1"/>
      <c r="E114" s="1" t="b">
        <f>tblTNFa[[#This Row],[NetMFI]]&gt;B113</f>
        <v>1</v>
      </c>
    </row>
    <row r="115" spans="1:5" x14ac:dyDescent="0.2">
      <c r="A115" s="1">
        <v>226.66080080080101</v>
      </c>
      <c r="B115" s="1">
        <v>12379.6205257365</v>
      </c>
      <c r="C115" s="1"/>
      <c r="D115" s="1"/>
      <c r="E115" s="1" t="b">
        <f>tblTNFa[[#This Row],[NetMFI]]&gt;B114</f>
        <v>1</v>
      </c>
    </row>
    <row r="116" spans="1:5" x14ac:dyDescent="0.2">
      <c r="A116" s="1">
        <v>228.662312312312</v>
      </c>
      <c r="B116" s="1">
        <v>12425.432024801999</v>
      </c>
      <c r="C116" s="1"/>
      <c r="D116" s="1"/>
      <c r="E116" s="1" t="b">
        <f>tblTNFa[[#This Row],[NetMFI]]&gt;B115</f>
        <v>1</v>
      </c>
    </row>
    <row r="117" spans="1:5" x14ac:dyDescent="0.2">
      <c r="A117" s="1">
        <v>230.663823823824</v>
      </c>
      <c r="B117" s="1">
        <v>12470.592905330301</v>
      </c>
      <c r="C117" s="1"/>
      <c r="D117" s="1"/>
      <c r="E117" s="1" t="b">
        <f>tblTNFa[[#This Row],[NetMFI]]&gt;B116</f>
        <v>1</v>
      </c>
    </row>
    <row r="118" spans="1:5" x14ac:dyDescent="0.2">
      <c r="A118" s="1">
        <v>232.66533533533499</v>
      </c>
      <c r="B118" s="1">
        <v>12515.114973159099</v>
      </c>
      <c r="C118" s="1"/>
      <c r="D118" s="1"/>
      <c r="E118" s="1" t="b">
        <f>tblTNFa[[#This Row],[NetMFI]]&gt;B117</f>
        <v>1</v>
      </c>
    </row>
    <row r="119" spans="1:5" x14ac:dyDescent="0.2">
      <c r="A119" s="1">
        <v>234.66684684684699</v>
      </c>
      <c r="B119" s="1">
        <v>12559.009791427001</v>
      </c>
      <c r="C119" s="1"/>
      <c r="D119" s="1"/>
      <c r="E119" s="1" t="b">
        <f>tblTNFa[[#This Row],[NetMFI]]&gt;B118</f>
        <v>1</v>
      </c>
    </row>
    <row r="120" spans="1:5" x14ac:dyDescent="0.2">
      <c r="A120" s="1">
        <v>236.66835835835801</v>
      </c>
      <c r="B120" s="1">
        <v>12602.288685435</v>
      </c>
      <c r="C120" s="1"/>
      <c r="D120" s="1"/>
      <c r="E120" s="1" t="b">
        <f>tblTNFa[[#This Row],[NetMFI]]&gt;B119</f>
        <v>1</v>
      </c>
    </row>
    <row r="121" spans="1:5" x14ac:dyDescent="0.2">
      <c r="A121" s="1">
        <v>238.66986986987001</v>
      </c>
      <c r="B121" s="1">
        <v>12644.9627474547</v>
      </c>
      <c r="C121" s="1"/>
      <c r="D121" s="1"/>
      <c r="E121" s="1" t="b">
        <f>tblTNFa[[#This Row],[NetMFI]]&gt;B120</f>
        <v>1</v>
      </c>
    </row>
    <row r="122" spans="1:5" x14ac:dyDescent="0.2">
      <c r="A122" s="1">
        <v>240.671381381381</v>
      </c>
      <c r="B122" s="1">
        <v>12687.042841479901</v>
      </c>
      <c r="C122" s="1"/>
      <c r="D122" s="1"/>
      <c r="E122" s="1" t="b">
        <f>tblTNFa[[#This Row],[NetMFI]]&gt;B121</f>
        <v>1</v>
      </c>
    </row>
    <row r="123" spans="1:5" x14ac:dyDescent="0.2">
      <c r="A123" s="1">
        <v>242.672892892893</v>
      </c>
      <c r="B123" s="1">
        <v>12728.5396079167</v>
      </c>
      <c r="C123" s="1"/>
      <c r="D123" s="1"/>
      <c r="E123" s="1" t="b">
        <f>tblTNFa[[#This Row],[NetMFI]]&gt;B122</f>
        <v>1</v>
      </c>
    </row>
    <row r="124" spans="1:5" x14ac:dyDescent="0.2">
      <c r="A124" s="1">
        <v>244.67440440440399</v>
      </c>
      <c r="B124" s="1">
        <v>12769.463468211199</v>
      </c>
      <c r="C124" s="1"/>
      <c r="D124" s="1"/>
      <c r="E124" s="1" t="b">
        <f>tblTNFa[[#This Row],[NetMFI]]&gt;B123</f>
        <v>1</v>
      </c>
    </row>
    <row r="125" spans="1:5" x14ac:dyDescent="0.2">
      <c r="A125" s="1">
        <v>246.67591591591599</v>
      </c>
      <c r="B125" s="1">
        <v>12809.824629410999</v>
      </c>
      <c r="C125" s="1"/>
      <c r="D125" s="1"/>
      <c r="E125" s="1" t="b">
        <f>tblTNFa[[#This Row],[NetMFI]]&gt;B124</f>
        <v>1</v>
      </c>
    </row>
    <row r="126" spans="1:5" x14ac:dyDescent="0.2">
      <c r="A126" s="1">
        <v>248.67742742742701</v>
      </c>
      <c r="B126" s="1">
        <v>12849.6330886593</v>
      </c>
      <c r="C126" s="1"/>
      <c r="D126" s="1"/>
      <c r="E126" s="1" t="b">
        <f>tblTNFa[[#This Row],[NetMFI]]&gt;B125</f>
        <v>1</v>
      </c>
    </row>
    <row r="127" spans="1:5" x14ac:dyDescent="0.2">
      <c r="A127" s="1">
        <v>250.67893893893901</v>
      </c>
      <c r="B127" s="1">
        <v>12888.898637619101</v>
      </c>
      <c r="C127" s="1"/>
      <c r="D127" s="1"/>
      <c r="E127" s="1" t="b">
        <f>tblTNFa[[#This Row],[NetMFI]]&gt;B126</f>
        <v>1</v>
      </c>
    </row>
    <row r="128" spans="1:5" x14ac:dyDescent="0.2">
      <c r="A128" s="1">
        <v>252.68045045045</v>
      </c>
      <c r="B128" s="1">
        <v>12927.630866826899</v>
      </c>
      <c r="C128" s="1"/>
      <c r="D128" s="1"/>
      <c r="E128" s="1" t="b">
        <f>tblTNFa[[#This Row],[NetMFI]]&gt;B127</f>
        <v>1</v>
      </c>
    </row>
    <row r="129" spans="1:5" x14ac:dyDescent="0.2">
      <c r="A129" s="1">
        <v>254.681961961962</v>
      </c>
      <c r="B129" s="1">
        <v>12965.8391699738</v>
      </c>
      <c r="C129" s="1"/>
      <c r="D129" s="1"/>
      <c r="E129" s="1" t="b">
        <f>tblTNFa[[#This Row],[NetMFI]]&gt;B128</f>
        <v>1</v>
      </c>
    </row>
    <row r="130" spans="1:5" x14ac:dyDescent="0.2">
      <c r="A130" s="1">
        <v>256.68347347347299</v>
      </c>
      <c r="B130" s="1">
        <v>13003.532748113899</v>
      </c>
      <c r="C130" s="1"/>
      <c r="D130" s="1"/>
      <c r="E130" s="1" t="b">
        <f>tblTNFa[[#This Row],[NetMFI]]&gt;B129</f>
        <v>1</v>
      </c>
    </row>
    <row r="131" spans="1:5" x14ac:dyDescent="0.2">
      <c r="A131" s="1">
        <v>258.68498498498502</v>
      </c>
      <c r="B131" s="1">
        <v>13040.7206137989</v>
      </c>
      <c r="C131" s="1"/>
      <c r="D131" s="1"/>
      <c r="E131" s="1" t="b">
        <f>tblTNFa[[#This Row],[NetMFI]]&gt;B130</f>
        <v>1</v>
      </c>
    </row>
    <row r="132" spans="1:5" x14ac:dyDescent="0.2">
      <c r="A132" s="1">
        <v>260.686496496497</v>
      </c>
      <c r="B132" s="1">
        <v>13077.411595138599</v>
      </c>
      <c r="C132" s="1"/>
      <c r="D132" s="1"/>
      <c r="E132" s="1" t="b">
        <f>tblTNFa[[#This Row],[NetMFI]]&gt;B131</f>
        <v>1</v>
      </c>
    </row>
    <row r="133" spans="1:5" x14ac:dyDescent="0.2">
      <c r="A133" s="1">
        <v>262.68800800800801</v>
      </c>
      <c r="B133" s="1">
        <v>13113.614339787</v>
      </c>
      <c r="C133" s="1"/>
      <c r="D133" s="1"/>
      <c r="E133" s="1" t="b">
        <f>tblTNFa[[#This Row],[NetMFI]]&gt;B132</f>
        <v>1</v>
      </c>
    </row>
    <row r="134" spans="1:5" x14ac:dyDescent="0.2">
      <c r="A134" s="1">
        <v>264.68951951951999</v>
      </c>
      <c r="B134" s="1">
        <v>13149.337318853601</v>
      </c>
      <c r="C134" s="1"/>
      <c r="D134" s="1"/>
      <c r="E134" s="1" t="b">
        <f>tblTNFa[[#This Row],[NetMFI]]&gt;B133</f>
        <v>1</v>
      </c>
    </row>
    <row r="135" spans="1:5" x14ac:dyDescent="0.2">
      <c r="A135" s="1">
        <v>266.691031031031</v>
      </c>
      <c r="B135" s="1">
        <v>13184.5888307406</v>
      </c>
      <c r="C135" s="1"/>
      <c r="D135" s="1"/>
      <c r="E135" s="1" t="b">
        <f>tblTNFa[[#This Row],[NetMFI]]&gt;B134</f>
        <v>1</v>
      </c>
    </row>
    <row r="136" spans="1:5" x14ac:dyDescent="0.2">
      <c r="A136" s="1">
        <v>268.69254254254298</v>
      </c>
      <c r="B136" s="1">
        <v>13219.3770049052</v>
      </c>
      <c r="C136" s="1"/>
      <c r="D136" s="1"/>
      <c r="E136" s="1" t="b">
        <f>tblTNFa[[#This Row],[NetMFI]]&gt;B135</f>
        <v>1</v>
      </c>
    </row>
    <row r="137" spans="1:5" x14ac:dyDescent="0.2">
      <c r="A137" s="1">
        <v>270.69405405405399</v>
      </c>
      <c r="B137" s="1">
        <v>13253.7098055485</v>
      </c>
      <c r="C137" s="1"/>
      <c r="D137" s="1"/>
      <c r="E137" s="1" t="b">
        <f>tblTNFa[[#This Row],[NetMFI]]&gt;B136</f>
        <v>1</v>
      </c>
    </row>
    <row r="138" spans="1:5" x14ac:dyDescent="0.2">
      <c r="A138" s="1">
        <v>272.69556556556603</v>
      </c>
      <c r="B138" s="1">
        <v>13287.595035230701</v>
      </c>
      <c r="C138" s="1"/>
      <c r="D138" s="1"/>
      <c r="E138" s="1" t="b">
        <f>tblTNFa[[#This Row],[NetMFI]]&gt;B137</f>
        <v>1</v>
      </c>
    </row>
    <row r="139" spans="1:5" x14ac:dyDescent="0.2">
      <c r="A139" s="1">
        <v>274.69707707707698</v>
      </c>
      <c r="B139" s="1">
        <v>13321.0403384124</v>
      </c>
      <c r="C139" s="1"/>
      <c r="D139" s="1"/>
      <c r="E139" s="1" t="b">
        <f>tblTNFa[[#This Row],[NetMFI]]&gt;B138</f>
        <v>1</v>
      </c>
    </row>
    <row r="140" spans="1:5" x14ac:dyDescent="0.2">
      <c r="A140" s="1">
        <v>276.69858858858902</v>
      </c>
      <c r="B140" s="1">
        <v>13354.053204924499</v>
      </c>
      <c r="C140" s="1"/>
      <c r="D140" s="1"/>
      <c r="E140" s="1" t="b">
        <f>tblTNFa[[#This Row],[NetMFI]]&gt;B139</f>
        <v>1</v>
      </c>
    </row>
    <row r="141" spans="1:5" x14ac:dyDescent="0.2">
      <c r="A141" s="1">
        <v>278.70010010009997</v>
      </c>
      <c r="B141" s="1">
        <v>13386.640973366</v>
      </c>
      <c r="C141" s="1"/>
      <c r="D141" s="1"/>
      <c r="E141" s="1" t="b">
        <f>tblTNFa[[#This Row],[NetMFI]]&gt;B140</f>
        <v>1</v>
      </c>
    </row>
    <row r="142" spans="1:5" x14ac:dyDescent="0.2">
      <c r="A142" s="1">
        <v>280.70161161161201</v>
      </c>
      <c r="B142" s="1">
        <v>13418.8108344302</v>
      </c>
      <c r="C142" s="1"/>
      <c r="D142" s="1"/>
      <c r="E142" s="1" t="b">
        <f>tblTNFa[[#This Row],[NetMFI]]&gt;B141</f>
        <v>1</v>
      </c>
    </row>
    <row r="143" spans="1:5" x14ac:dyDescent="0.2">
      <c r="A143" s="1">
        <v>282.70312312312302</v>
      </c>
      <c r="B143" s="1">
        <v>13450.569834161501</v>
      </c>
      <c r="C143" s="1"/>
      <c r="D143" s="1"/>
      <c r="E143" s="1" t="b">
        <f>tblTNFa[[#This Row],[NetMFI]]&gt;B142</f>
        <v>1</v>
      </c>
    </row>
    <row r="144" spans="1:5" x14ac:dyDescent="0.2">
      <c r="A144" s="1">
        <v>284.704634634635</v>
      </c>
      <c r="B144" s="1">
        <v>13481.924877142301</v>
      </c>
      <c r="C144" s="1"/>
      <c r="D144" s="1"/>
      <c r="E144" s="1" t="b">
        <f>tblTNFa[[#This Row],[NetMFI]]&gt;B143</f>
        <v>1</v>
      </c>
    </row>
    <row r="145" spans="1:5" x14ac:dyDescent="0.2">
      <c r="A145" s="1">
        <v>286.70614614614601</v>
      </c>
      <c r="B145" s="1">
        <v>13512.8827296117</v>
      </c>
      <c r="C145" s="1"/>
      <c r="D145" s="1"/>
      <c r="E145" s="1" t="b">
        <f>tblTNFa[[#This Row],[NetMFI]]&gt;B144</f>
        <v>1</v>
      </c>
    </row>
    <row r="146" spans="1:5" x14ac:dyDescent="0.2">
      <c r="A146" s="1">
        <v>288.70765765765799</v>
      </c>
      <c r="B146" s="1">
        <v>13543.450022516699</v>
      </c>
      <c r="C146" s="1"/>
      <c r="D146" s="1"/>
      <c r="E146" s="1" t="b">
        <f>tblTNFa[[#This Row],[NetMFI]]&gt;B145</f>
        <v>1</v>
      </c>
    </row>
    <row r="147" spans="1:5" x14ac:dyDescent="0.2">
      <c r="A147" s="1">
        <v>290.709169169169</v>
      </c>
      <c r="B147" s="1">
        <v>13573.633254497099</v>
      </c>
      <c r="C147" s="1"/>
      <c r="D147" s="1"/>
      <c r="E147" s="1" t="b">
        <f>tblTNFa[[#This Row],[NetMFI]]&gt;B146</f>
        <v>1</v>
      </c>
    </row>
    <row r="148" spans="1:5" x14ac:dyDescent="0.2">
      <c r="A148" s="1">
        <v>292.71068068068098</v>
      </c>
      <c r="B148" s="1">
        <v>13603.438794804901</v>
      </c>
      <c r="C148" s="1"/>
      <c r="D148" s="1"/>
      <c r="E148" s="1" t="b">
        <f>tblTNFa[[#This Row],[NetMFI]]&gt;B147</f>
        <v>1</v>
      </c>
    </row>
    <row r="149" spans="1:5" x14ac:dyDescent="0.2">
      <c r="A149" s="1">
        <v>294.71219219219199</v>
      </c>
      <c r="B149" s="1">
        <v>13632.872886158801</v>
      </c>
      <c r="C149" s="1"/>
      <c r="D149" s="1"/>
      <c r="E149" s="1" t="b">
        <f>tblTNFa[[#This Row],[NetMFI]]&gt;B148</f>
        <v>1</v>
      </c>
    </row>
    <row r="150" spans="1:5" x14ac:dyDescent="0.2">
      <c r="A150" s="1">
        <v>296.71370370370403</v>
      </c>
      <c r="B150" s="1">
        <v>13661.9416475366</v>
      </c>
      <c r="C150" s="1"/>
      <c r="D150" s="1"/>
      <c r="E150" s="1" t="b">
        <f>tblTNFa[[#This Row],[NetMFI]]&gt;B149</f>
        <v>1</v>
      </c>
    </row>
    <row r="151" spans="1:5" x14ac:dyDescent="0.2">
      <c r="A151" s="1">
        <v>298.71521521521498</v>
      </c>
      <c r="B151" s="1">
        <v>13690.6510769038</v>
      </c>
      <c r="C151" s="1"/>
      <c r="D151" s="1"/>
      <c r="E151" s="1" t="b">
        <f>tblTNFa[[#This Row],[NetMFI]]&gt;B150</f>
        <v>1</v>
      </c>
    </row>
    <row r="152" spans="1:5" x14ac:dyDescent="0.2">
      <c r="A152" s="1">
        <v>300.71672672672702</v>
      </c>
      <c r="B152" s="1">
        <v>13719.0070538828</v>
      </c>
      <c r="C152" s="1"/>
      <c r="D152" s="1"/>
      <c r="E152" s="1" t="b">
        <f>tblTNFa[[#This Row],[NetMFI]]&gt;B151</f>
        <v>1</v>
      </c>
    </row>
    <row r="153" spans="1:5" x14ac:dyDescent="0.2">
      <c r="A153" s="1">
        <v>302.71823823823797</v>
      </c>
      <c r="B153" s="1">
        <v>13747.015342360601</v>
      </c>
      <c r="C153" s="1"/>
      <c r="D153" s="1"/>
      <c r="E153" s="1" t="b">
        <f>tblTNFa[[#This Row],[NetMFI]]&gt;B152</f>
        <v>1</v>
      </c>
    </row>
    <row r="154" spans="1:5" x14ac:dyDescent="0.2">
      <c r="A154" s="1">
        <v>304.71974974975001</v>
      </c>
      <c r="B154" s="1">
        <v>13774.6815930383</v>
      </c>
      <c r="C154" s="1"/>
      <c r="D154" s="1"/>
      <c r="E154" s="1" t="b">
        <f>tblTNFa[[#This Row],[NetMFI]]&gt;B153</f>
        <v>1</v>
      </c>
    </row>
    <row r="155" spans="1:5" x14ac:dyDescent="0.2">
      <c r="A155" s="1">
        <v>306.72126126126102</v>
      </c>
      <c r="B155" s="1">
        <v>13802.0113459232</v>
      </c>
      <c r="C155" s="1"/>
      <c r="D155" s="1"/>
      <c r="E155" s="1" t="b">
        <f>tblTNFa[[#This Row],[NetMFI]]&gt;B154</f>
        <v>1</v>
      </c>
    </row>
    <row r="156" spans="1:5" x14ac:dyDescent="0.2">
      <c r="A156" s="1">
        <v>308.722772772773</v>
      </c>
      <c r="B156" s="1">
        <v>13829.010032763101</v>
      </c>
      <c r="C156" s="1"/>
      <c r="D156" s="1"/>
      <c r="E156" s="1" t="b">
        <f>tblTNFa[[#This Row],[NetMFI]]&gt;B155</f>
        <v>1</v>
      </c>
    </row>
    <row r="157" spans="1:5" x14ac:dyDescent="0.2">
      <c r="A157" s="1">
        <v>310.72428428428401</v>
      </c>
      <c r="B157" s="1">
        <v>13855.6829794266</v>
      </c>
      <c r="C157" s="1"/>
      <c r="D157" s="1"/>
      <c r="E157" s="1" t="b">
        <f>tblTNFa[[#This Row],[NetMFI]]&gt;B156</f>
        <v>1</v>
      </c>
    </row>
    <row r="158" spans="1:5" x14ac:dyDescent="0.2">
      <c r="A158" s="1">
        <v>312.72579579579599</v>
      </c>
      <c r="B158" s="1">
        <v>13882.035408227401</v>
      </c>
      <c r="C158" s="1"/>
      <c r="D158" s="1"/>
      <c r="E158" s="1" t="b">
        <f>tblTNFa[[#This Row],[NetMFI]]&gt;B157</f>
        <v>1</v>
      </c>
    </row>
    <row r="159" spans="1:5" x14ac:dyDescent="0.2">
      <c r="A159" s="1">
        <v>314.727307307307</v>
      </c>
      <c r="B159" s="1">
        <v>13908.0724401965</v>
      </c>
      <c r="C159" s="1"/>
      <c r="D159" s="1"/>
      <c r="E159" s="1" t="b">
        <f>tblTNFa[[#This Row],[NetMFI]]&gt;B158</f>
        <v>1</v>
      </c>
    </row>
    <row r="160" spans="1:5" x14ac:dyDescent="0.2">
      <c r="A160" s="1">
        <v>316.72881881881898</v>
      </c>
      <c r="B160" s="1">
        <v>13933.7990973013</v>
      </c>
      <c r="C160" s="1"/>
      <c r="D160" s="1"/>
      <c r="E160" s="1" t="b">
        <f>tblTNFa[[#This Row],[NetMFI]]&gt;B159</f>
        <v>1</v>
      </c>
    </row>
    <row r="161" spans="1:5" x14ac:dyDescent="0.2">
      <c r="A161" s="1">
        <v>318.73033033032999</v>
      </c>
      <c r="B161" s="1">
        <v>13959.220304614701</v>
      </c>
      <c r="C161" s="1"/>
      <c r="D161" s="1"/>
      <c r="E161" s="1" t="b">
        <f>tblTNFa[[#This Row],[NetMFI]]&gt;B160</f>
        <v>1</v>
      </c>
    </row>
    <row r="162" spans="1:5" x14ac:dyDescent="0.2">
      <c r="A162" s="1">
        <v>320.73184184184203</v>
      </c>
      <c r="B162" s="1">
        <v>13984.3408924327</v>
      </c>
      <c r="C162" s="1"/>
      <c r="D162" s="1"/>
      <c r="E162" s="1" t="b">
        <f>tblTNFa[[#This Row],[NetMFI]]&gt;B161</f>
        <v>1</v>
      </c>
    </row>
    <row r="163" spans="1:5" x14ac:dyDescent="0.2">
      <c r="A163" s="1">
        <v>322.73335335335298</v>
      </c>
      <c r="B163" s="1">
        <v>14009.1655983443</v>
      </c>
      <c r="C163" s="1"/>
      <c r="D163" s="1"/>
      <c r="E163" s="1" t="b">
        <f>tblTNFa[[#This Row],[NetMFI]]&gt;B162</f>
        <v>1</v>
      </c>
    </row>
    <row r="164" spans="1:5" x14ac:dyDescent="0.2">
      <c r="A164" s="1">
        <v>324.73486486486502</v>
      </c>
      <c r="B164" s="1">
        <v>14033.6990692527</v>
      </c>
      <c r="C164" s="1"/>
      <c r="D164" s="1"/>
      <c r="E164" s="1" t="b">
        <f>tblTNFa[[#This Row],[NetMFI]]&gt;B163</f>
        <v>1</v>
      </c>
    </row>
    <row r="165" spans="1:5" x14ac:dyDescent="0.2">
      <c r="A165" s="1">
        <v>326.73637637637597</v>
      </c>
      <c r="B165" s="1">
        <v>14057.9458633503</v>
      </c>
      <c r="C165" s="1"/>
      <c r="D165" s="1"/>
      <c r="E165" s="1" t="b">
        <f>tblTNFa[[#This Row],[NetMFI]]&gt;B164</f>
        <v>1</v>
      </c>
    </row>
    <row r="166" spans="1:5" x14ac:dyDescent="0.2">
      <c r="A166" s="1">
        <v>328.73788788788801</v>
      </c>
      <c r="B166" s="1">
        <v>14081.910452047299</v>
      </c>
      <c r="C166" s="1"/>
      <c r="D166" s="1"/>
      <c r="E166" s="1" t="b">
        <f>tblTNFa[[#This Row],[NetMFI]]&gt;B165</f>
        <v>1</v>
      </c>
    </row>
    <row r="167" spans="1:5" x14ac:dyDescent="0.2">
      <c r="A167" s="1">
        <v>330.73939939939902</v>
      </c>
      <c r="B167" s="1">
        <v>14105.5972218555</v>
      </c>
      <c r="C167" s="1"/>
      <c r="D167" s="1"/>
      <c r="E167" s="1" t="b">
        <f>tblTNFa[[#This Row],[NetMFI]]&gt;B166</f>
        <v>1</v>
      </c>
    </row>
    <row r="168" spans="1:5" x14ac:dyDescent="0.2">
      <c r="A168" s="1">
        <v>332.740910910911</v>
      </c>
      <c r="B168" s="1">
        <v>14129.010476229099</v>
      </c>
      <c r="C168" s="1"/>
      <c r="D168" s="1"/>
      <c r="E168" s="1" t="b">
        <f>tblTNFa[[#This Row],[NetMFI]]&gt;B167</f>
        <v>1</v>
      </c>
    </row>
    <row r="169" spans="1:5" x14ac:dyDescent="0.2">
      <c r="A169" s="1">
        <v>334.74242242242201</v>
      </c>
      <c r="B169" s="1">
        <v>14152.1544373617</v>
      </c>
      <c r="C169" s="1"/>
      <c r="D169" s="1"/>
      <c r="E169" s="1" t="b">
        <f>tblTNFa[[#This Row],[NetMFI]]&gt;B168</f>
        <v>1</v>
      </c>
    </row>
    <row r="170" spans="1:5" x14ac:dyDescent="0.2">
      <c r="A170" s="1">
        <v>336.74393393393399</v>
      </c>
      <c r="B170" s="1">
        <v>14175.033247941899</v>
      </c>
      <c r="C170" s="1"/>
      <c r="D170" s="1"/>
      <c r="E170" s="1" t="b">
        <f>tblTNFa[[#This Row],[NetMFI]]&gt;B169</f>
        <v>1</v>
      </c>
    </row>
    <row r="171" spans="1:5" x14ac:dyDescent="0.2">
      <c r="A171" s="1">
        <v>338.745445445445</v>
      </c>
      <c r="B171" s="1">
        <v>14197.6509728683</v>
      </c>
      <c r="C171" s="1"/>
      <c r="D171" s="1"/>
      <c r="E171" s="1" t="b">
        <f>tblTNFa[[#This Row],[NetMFI]]&gt;B170</f>
        <v>1</v>
      </c>
    </row>
    <row r="172" spans="1:5" x14ac:dyDescent="0.2">
      <c r="A172" s="1">
        <v>340.74695695695698</v>
      </c>
      <c r="B172" s="1">
        <v>14220.011600923801</v>
      </c>
      <c r="C172" s="1"/>
      <c r="D172" s="1"/>
      <c r="E172" s="1" t="b">
        <f>tblTNFa[[#This Row],[NetMFI]]&gt;B171</f>
        <v>1</v>
      </c>
    </row>
    <row r="173" spans="1:5" x14ac:dyDescent="0.2">
      <c r="A173" s="1">
        <v>342.74846846846901</v>
      </c>
      <c r="B173" s="1">
        <v>14242.119046411801</v>
      </c>
      <c r="C173" s="1"/>
      <c r="D173" s="1"/>
      <c r="E173" s="1" t="b">
        <f>tblTNFa[[#This Row],[NetMFI]]&gt;B172</f>
        <v>1</v>
      </c>
    </row>
    <row r="174" spans="1:5" x14ac:dyDescent="0.2">
      <c r="A174" s="1">
        <v>344.74997997998003</v>
      </c>
      <c r="B174" s="1">
        <v>14263.977150753601</v>
      </c>
      <c r="C174" s="1"/>
      <c r="D174" s="1"/>
      <c r="E174" s="1" t="b">
        <f>tblTNFa[[#This Row],[NetMFI]]&gt;B173</f>
        <v>1</v>
      </c>
    </row>
    <row r="175" spans="1:5" x14ac:dyDescent="0.2">
      <c r="A175" s="1">
        <v>346.751491491492</v>
      </c>
      <c r="B175" s="1">
        <v>14285.5896840491</v>
      </c>
      <c r="C175" s="1"/>
      <c r="D175" s="1"/>
      <c r="E175" s="1" t="b">
        <f>tblTNFa[[#This Row],[NetMFI]]&gt;B174</f>
        <v>1</v>
      </c>
    </row>
    <row r="176" spans="1:5" x14ac:dyDescent="0.2">
      <c r="A176" s="1">
        <v>348.75300300300302</v>
      </c>
      <c r="B176" s="1">
        <v>14306.960346600399</v>
      </c>
      <c r="C176" s="1"/>
      <c r="D176" s="1"/>
      <c r="E176" s="1" t="b">
        <f>tblTNFa[[#This Row],[NetMFI]]&gt;B175</f>
        <v>1</v>
      </c>
    </row>
    <row r="177" spans="1:5" x14ac:dyDescent="0.2">
      <c r="A177" s="1">
        <v>350.75451451451499</v>
      </c>
      <c r="B177" s="1">
        <v>14328.092770400899</v>
      </c>
      <c r="C177" s="1"/>
      <c r="D177" s="1"/>
      <c r="E177" s="1" t="b">
        <f>tblTNFa[[#This Row],[NetMFI]]&gt;B176</f>
        <v>1</v>
      </c>
    </row>
    <row r="178" spans="1:5" x14ac:dyDescent="0.2">
      <c r="A178" s="1">
        <v>352.75602602602601</v>
      </c>
      <c r="B178" s="1">
        <v>14348.990520588801</v>
      </c>
      <c r="C178" s="1"/>
      <c r="D178" s="1"/>
      <c r="E178" s="1" t="b">
        <f>tblTNFa[[#This Row],[NetMFI]]&gt;B177</f>
        <v>1</v>
      </c>
    </row>
    <row r="179" spans="1:5" x14ac:dyDescent="0.2">
      <c r="A179" s="1">
        <v>354.75753753753798</v>
      </c>
      <c r="B179" s="1">
        <v>14369.657096867601</v>
      </c>
      <c r="C179" s="1"/>
      <c r="D179" s="1"/>
      <c r="E179" s="1" t="b">
        <f>tblTNFa[[#This Row],[NetMFI]]&gt;B178</f>
        <v>1</v>
      </c>
    </row>
    <row r="180" spans="1:5" x14ac:dyDescent="0.2">
      <c r="A180" s="1">
        <v>356.759049049049</v>
      </c>
      <c r="B180" s="1">
        <v>14390.095934892999</v>
      </c>
      <c r="C180" s="1"/>
      <c r="D180" s="1"/>
      <c r="E180" s="1" t="b">
        <f>tblTNFa[[#This Row],[NetMFI]]&gt;B179</f>
        <v>1</v>
      </c>
    </row>
    <row r="181" spans="1:5" x14ac:dyDescent="0.2">
      <c r="A181" s="1">
        <v>358.76056056056098</v>
      </c>
      <c r="B181" s="1">
        <v>14410.3104076277</v>
      </c>
      <c r="C181" s="1"/>
      <c r="D181" s="1"/>
      <c r="E181" s="1" t="b">
        <f>tblTNFa[[#This Row],[NetMFI]]&gt;B180</f>
        <v>1</v>
      </c>
    </row>
    <row r="182" spans="1:5" x14ac:dyDescent="0.2">
      <c r="A182" s="1">
        <v>360.76207207207199</v>
      </c>
      <c r="B182" s="1">
        <v>14430.303826665</v>
      </c>
      <c r="C182" s="1"/>
      <c r="D182" s="1"/>
      <c r="E182" s="1" t="b">
        <f>tblTNFa[[#This Row],[NetMFI]]&gt;B181</f>
        <v>1</v>
      </c>
    </row>
    <row r="183" spans="1:5" x14ac:dyDescent="0.2">
      <c r="A183" s="1">
        <v>362.76358358358402</v>
      </c>
      <c r="B183" s="1">
        <v>14450.079443521099</v>
      </c>
      <c r="C183" s="1"/>
      <c r="D183" s="1"/>
      <c r="E183" s="1" t="b">
        <f>tblTNFa[[#This Row],[NetMFI]]&gt;B182</f>
        <v>1</v>
      </c>
    </row>
    <row r="184" spans="1:5" x14ac:dyDescent="0.2">
      <c r="A184" s="1">
        <v>364.76509509509498</v>
      </c>
      <c r="B184" s="1">
        <v>14469.6404508981</v>
      </c>
      <c r="C184" s="1"/>
      <c r="D184" s="1"/>
      <c r="E184" s="1" t="b">
        <f>tblTNFa[[#This Row],[NetMFI]]&gt;B183</f>
        <v>1</v>
      </c>
    </row>
    <row r="185" spans="1:5" x14ac:dyDescent="0.2">
      <c r="A185" s="1">
        <v>366.76660660660701</v>
      </c>
      <c r="B185" s="1">
        <v>14488.9899839174</v>
      </c>
      <c r="C185" s="1"/>
      <c r="D185" s="1"/>
      <c r="E185" s="1" t="b">
        <f>tblTNFa[[#This Row],[NetMFI]]&gt;B184</f>
        <v>1</v>
      </c>
    </row>
    <row r="186" spans="1:5" x14ac:dyDescent="0.2">
      <c r="A186" s="1">
        <v>368.76811811811802</v>
      </c>
      <c r="B186" s="1">
        <v>14508.131121324401</v>
      </c>
      <c r="C186" s="1"/>
      <c r="D186" s="1"/>
      <c r="E186" s="1" t="b">
        <f>tblTNFa[[#This Row],[NetMFI]]&gt;B185</f>
        <v>1</v>
      </c>
    </row>
    <row r="187" spans="1:5" x14ac:dyDescent="0.2">
      <c r="A187" s="1">
        <v>370.76962962963</v>
      </c>
      <c r="B187" s="1">
        <v>14527.0668866658</v>
      </c>
      <c r="C187" s="1"/>
      <c r="D187" s="1"/>
      <c r="E187" s="1" t="b">
        <f>tblTNFa[[#This Row],[NetMFI]]&gt;B186</f>
        <v>1</v>
      </c>
    </row>
    <row r="188" spans="1:5" x14ac:dyDescent="0.2">
      <c r="A188" s="1">
        <v>372.77114114114102</v>
      </c>
      <c r="B188" s="1">
        <v>14545.8002494391</v>
      </c>
      <c r="C188" s="1"/>
      <c r="D188" s="1"/>
      <c r="E188" s="1" t="b">
        <f>tblTNFa[[#This Row],[NetMFI]]&gt;B187</f>
        <v>1</v>
      </c>
    </row>
    <row r="189" spans="1:5" x14ac:dyDescent="0.2">
      <c r="A189" s="1">
        <v>374.77265265265299</v>
      </c>
      <c r="B189" s="1">
        <v>14564.334126216099</v>
      </c>
      <c r="C189" s="1"/>
      <c r="D189" s="1"/>
      <c r="E189" s="1" t="b">
        <f>tblTNFa[[#This Row],[NetMFI]]&gt;B188</f>
        <v>1</v>
      </c>
    </row>
    <row r="190" spans="1:5" x14ac:dyDescent="0.2">
      <c r="A190" s="1">
        <v>376.77416416416401</v>
      </c>
      <c r="B190" s="1">
        <v>14582.6713817406</v>
      </c>
      <c r="C190" s="1"/>
      <c r="D190" s="1"/>
      <c r="E190" s="1" t="b">
        <f>tblTNFa[[#This Row],[NetMFI]]&gt;B189</f>
        <v>1</v>
      </c>
    </row>
    <row r="191" spans="1:5" x14ac:dyDescent="0.2">
      <c r="A191" s="1">
        <v>378.77567567567598</v>
      </c>
      <c r="B191" s="1">
        <v>14600.814829999899</v>
      </c>
      <c r="C191" s="1"/>
      <c r="D191" s="1"/>
      <c r="E191" s="1" t="b">
        <f>tblTNFa[[#This Row],[NetMFI]]&gt;B190</f>
        <v>1</v>
      </c>
    </row>
    <row r="192" spans="1:5" x14ac:dyDescent="0.2">
      <c r="A192" s="1">
        <v>380.777187187187</v>
      </c>
      <c r="B192" s="1">
        <v>14618.767235273001</v>
      </c>
      <c r="C192" s="1"/>
      <c r="D192" s="1"/>
      <c r="E192" s="1" t="b">
        <f>tblTNFa[[#This Row],[NetMFI]]&gt;B191</f>
        <v>1</v>
      </c>
    </row>
    <row r="193" spans="1:5" x14ac:dyDescent="0.2">
      <c r="A193" s="1">
        <v>382.77869869869897</v>
      </c>
      <c r="B193" s="1">
        <v>14636.5313131535</v>
      </c>
      <c r="C193" s="1"/>
      <c r="D193" s="1"/>
      <c r="E193" s="1" t="b">
        <f>tblTNFa[[#This Row],[NetMFI]]&gt;B192</f>
        <v>1</v>
      </c>
    </row>
    <row r="194" spans="1:5" x14ac:dyDescent="0.2">
      <c r="A194" s="1">
        <v>384.78021021020999</v>
      </c>
      <c r="B194" s="1">
        <v>14654.109731550199</v>
      </c>
      <c r="C194" s="1"/>
      <c r="D194" s="1"/>
      <c r="E194" s="1" t="b">
        <f>tblTNFa[[#This Row],[NetMFI]]&gt;B193</f>
        <v>1</v>
      </c>
    </row>
    <row r="195" spans="1:5" x14ac:dyDescent="0.2">
      <c r="A195" s="1">
        <v>386.78172172172202</v>
      </c>
      <c r="B195" s="1">
        <v>14671.5051116636</v>
      </c>
      <c r="C195" s="1"/>
      <c r="D195" s="1"/>
      <c r="E195" s="1" t="b">
        <f>tblTNFa[[#This Row],[NetMFI]]&gt;B194</f>
        <v>1</v>
      </c>
    </row>
    <row r="196" spans="1:5" x14ac:dyDescent="0.2">
      <c r="A196" s="1">
        <v>388.78323323323298</v>
      </c>
      <c r="B196" s="1">
        <v>14688.720028941199</v>
      </c>
      <c r="C196" s="1"/>
      <c r="D196" s="1"/>
      <c r="E196" s="1" t="b">
        <f>tblTNFa[[#This Row],[NetMFI]]&gt;B195</f>
        <v>1</v>
      </c>
    </row>
    <row r="197" spans="1:5" x14ac:dyDescent="0.2">
      <c r="A197" s="1">
        <v>390.78474474474501</v>
      </c>
      <c r="B197" s="1">
        <v>14705.7570140103</v>
      </c>
      <c r="C197" s="1"/>
      <c r="D197" s="1"/>
      <c r="E197" s="1" t="b">
        <f>tblTNFa[[#This Row],[NetMFI]]&gt;B196</f>
        <v>1</v>
      </c>
    </row>
    <row r="198" spans="1:5" x14ac:dyDescent="0.2">
      <c r="A198" s="1">
        <v>392.78625625625602</v>
      </c>
      <c r="B198" s="1">
        <v>14722.6185535896</v>
      </c>
      <c r="C198" s="1"/>
      <c r="D198" s="1"/>
      <c r="E198" s="1" t="b">
        <f>tblTNFa[[#This Row],[NetMFI]]&gt;B197</f>
        <v>1</v>
      </c>
    </row>
    <row r="199" spans="1:5" x14ac:dyDescent="0.2">
      <c r="A199" s="1">
        <v>394.787767767768</v>
      </c>
      <c r="B199" s="1">
        <v>14739.3070913805</v>
      </c>
      <c r="C199" s="1"/>
      <c r="D199" s="1"/>
      <c r="E199" s="1" t="b">
        <f>tblTNFa[[#This Row],[NetMFI]]&gt;B198</f>
        <v>1</v>
      </c>
    </row>
    <row r="200" spans="1:5" x14ac:dyDescent="0.2">
      <c r="A200" s="1">
        <v>396.78927927927901</v>
      </c>
      <c r="B200" s="1">
        <v>14755.825028937499</v>
      </c>
      <c r="C200" s="1"/>
      <c r="D200" s="1"/>
      <c r="E200" s="1" t="b">
        <f>tblTNFa[[#This Row],[NetMFI]]&gt;B199</f>
        <v>1</v>
      </c>
    </row>
    <row r="201" spans="1:5" x14ac:dyDescent="0.2">
      <c r="A201" s="1">
        <v>398.79079079079099</v>
      </c>
      <c r="B201" s="1">
        <v>14772.174726519601</v>
      </c>
      <c r="C201" s="1"/>
      <c r="D201" s="1"/>
      <c r="E201" s="1" t="b">
        <f>tblTNFa[[#This Row],[NetMFI]]&gt;B200</f>
        <v>1</v>
      </c>
    </row>
    <row r="202" spans="1:5" x14ac:dyDescent="0.2">
      <c r="A202" s="1">
        <v>400.79230230230201</v>
      </c>
      <c r="B202" s="1">
        <v>14788.3585039218</v>
      </c>
      <c r="C202" s="1"/>
      <c r="D202" s="1"/>
      <c r="E202" s="1" t="b">
        <f>tblTNFa[[#This Row],[NetMFI]]&gt;B201</f>
        <v>1</v>
      </c>
    </row>
    <row r="203" spans="1:5" x14ac:dyDescent="0.2">
      <c r="A203" s="1">
        <v>402.79381381381398</v>
      </c>
      <c r="B203" s="1">
        <v>14804.378641288</v>
      </c>
      <c r="C203" s="1"/>
      <c r="D203" s="1"/>
      <c r="E203" s="1" t="b">
        <f>tblTNFa[[#This Row],[NetMFI]]&gt;B202</f>
        <v>1</v>
      </c>
    </row>
    <row r="204" spans="1:5" x14ac:dyDescent="0.2">
      <c r="A204" s="1">
        <v>404.795325325325</v>
      </c>
      <c r="B204" s="1">
        <v>14820.237379906001</v>
      </c>
      <c r="C204" s="1"/>
      <c r="D204" s="1"/>
      <c r="E204" s="1" t="b">
        <f>tblTNFa[[#This Row],[NetMFI]]&gt;B203</f>
        <v>1</v>
      </c>
    </row>
    <row r="205" spans="1:5" x14ac:dyDescent="0.2">
      <c r="A205" s="1">
        <v>406.79683683683697</v>
      </c>
      <c r="B205" s="1">
        <v>14835.936922983799</v>
      </c>
      <c r="C205" s="1"/>
      <c r="D205" s="1"/>
      <c r="E205" s="1" t="b">
        <f>tblTNFa[[#This Row],[NetMFI]]&gt;B204</f>
        <v>1</v>
      </c>
    </row>
    <row r="206" spans="1:5" x14ac:dyDescent="0.2">
      <c r="A206" s="1">
        <v>408.79834834834799</v>
      </c>
      <c r="B206" s="1">
        <v>14851.479436408899</v>
      </c>
      <c r="C206" s="1"/>
      <c r="D206" s="1"/>
      <c r="E206" s="1" t="b">
        <f>tblTNFa[[#This Row],[NetMFI]]&gt;B205</f>
        <v>1</v>
      </c>
    </row>
    <row r="207" spans="1:5" x14ac:dyDescent="0.2">
      <c r="A207" s="1">
        <v>410.79985985986002</v>
      </c>
      <c r="B207" s="1">
        <v>14866.867049491</v>
      </c>
      <c r="C207" s="1"/>
      <c r="D207" s="1"/>
      <c r="E207" s="1" t="b">
        <f>tblTNFa[[#This Row],[NetMFI]]&gt;B206</f>
        <v>1</v>
      </c>
    </row>
    <row r="208" spans="1:5" x14ac:dyDescent="0.2">
      <c r="A208" s="1">
        <v>412.80137137137098</v>
      </c>
      <c r="B208" s="1">
        <v>14882.1018556869</v>
      </c>
      <c r="C208" s="1"/>
      <c r="D208" s="1"/>
      <c r="E208" s="1" t="b">
        <f>tblTNFa[[#This Row],[NetMFI]]&gt;B207</f>
        <v>1</v>
      </c>
    </row>
    <row r="209" spans="1:5" x14ac:dyDescent="0.2">
      <c r="A209" s="1">
        <v>414.80288288288301</v>
      </c>
      <c r="B209" s="1">
        <v>14897.185913310601</v>
      </c>
      <c r="C209" s="1"/>
      <c r="D209" s="1"/>
      <c r="E209" s="1" t="b">
        <f>tblTNFa[[#This Row],[NetMFI]]&gt;B208</f>
        <v>1</v>
      </c>
    </row>
    <row r="210" spans="1:5" x14ac:dyDescent="0.2">
      <c r="A210" s="1">
        <v>416.80439439439402</v>
      </c>
      <c r="B210" s="1">
        <v>14912.121246226199</v>
      </c>
      <c r="C210" s="1"/>
      <c r="D210" s="1"/>
      <c r="E210" s="1" t="b">
        <f>tblTNFa[[#This Row],[NetMFI]]&gt;B209</f>
        <v>1</v>
      </c>
    </row>
    <row r="211" spans="1:5" x14ac:dyDescent="0.2">
      <c r="A211" s="1">
        <v>418.805905905906</v>
      </c>
      <c r="B211" s="1">
        <v>14926.909844526799</v>
      </c>
      <c r="C211" s="1"/>
      <c r="D211" s="1"/>
      <c r="E211" s="1" t="b">
        <f>tblTNFa[[#This Row],[NetMFI]]&gt;B210</f>
        <v>1</v>
      </c>
    </row>
    <row r="212" spans="1:5" x14ac:dyDescent="0.2">
      <c r="A212" s="1">
        <v>420.80741741741701</v>
      </c>
      <c r="B212" s="1">
        <v>14941.5536651967</v>
      </c>
      <c r="C212" s="1"/>
      <c r="D212" s="1"/>
      <c r="E212" s="1" t="b">
        <f>tblTNFa[[#This Row],[NetMFI]]&gt;B211</f>
        <v>1</v>
      </c>
    </row>
    <row r="213" spans="1:5" x14ac:dyDescent="0.2">
      <c r="A213" s="1">
        <v>422.80892892892899</v>
      </c>
      <c r="B213" s="1">
        <v>14956.054632760401</v>
      </c>
      <c r="C213" s="1"/>
      <c r="D213" s="1"/>
      <c r="E213" s="1" t="b">
        <f>tblTNFa[[#This Row],[NetMFI]]&gt;B212</f>
        <v>1</v>
      </c>
    </row>
    <row r="214" spans="1:5" x14ac:dyDescent="0.2">
      <c r="A214" s="1">
        <v>424.81044044044</v>
      </c>
      <c r="B214" s="1">
        <v>14970.4146399164</v>
      </c>
      <c r="C214" s="1"/>
      <c r="D214" s="1"/>
      <c r="E214" s="1" t="b">
        <f>tblTNFa[[#This Row],[NetMFI]]&gt;B213</f>
        <v>1</v>
      </c>
    </row>
    <row r="215" spans="1:5" x14ac:dyDescent="0.2">
      <c r="A215" s="1">
        <v>426.81195195195198</v>
      </c>
      <c r="B215" s="1">
        <v>14984.635548157101</v>
      </c>
      <c r="C215" s="1"/>
      <c r="D215" s="1"/>
      <c r="E215" s="1" t="b">
        <f>tblTNFa[[#This Row],[NetMFI]]&gt;B214</f>
        <v>1</v>
      </c>
    </row>
    <row r="216" spans="1:5" x14ac:dyDescent="0.2">
      <c r="A216" s="1">
        <v>428.81346346346402</v>
      </c>
      <c r="B216" s="1">
        <v>14998.7191883753</v>
      </c>
      <c r="C216" s="1"/>
      <c r="D216" s="1"/>
      <c r="E216" s="1" t="b">
        <f>tblTNFa[[#This Row],[NetMFI]]&gt;B215</f>
        <v>1</v>
      </c>
    </row>
    <row r="217" spans="1:5" x14ac:dyDescent="0.2">
      <c r="A217" s="1">
        <v>430.81497497497497</v>
      </c>
      <c r="B217" s="1">
        <v>15012.667361457099</v>
      </c>
      <c r="C217" s="1"/>
      <c r="D217" s="1"/>
      <c r="E217" s="1" t="b">
        <f>tblTNFa[[#This Row],[NetMFI]]&gt;B216</f>
        <v>1</v>
      </c>
    </row>
    <row r="218" spans="1:5" x14ac:dyDescent="0.2">
      <c r="A218" s="1">
        <v>432.81648648648599</v>
      </c>
      <c r="B218" s="1">
        <v>15026.481838861901</v>
      </c>
      <c r="C218" s="1"/>
      <c r="D218" s="1"/>
      <c r="E218" s="1" t="b">
        <f>tblTNFa[[#This Row],[NetMFI]]&gt;B217</f>
        <v>1</v>
      </c>
    </row>
    <row r="219" spans="1:5" x14ac:dyDescent="0.2">
      <c r="A219" s="1">
        <v>434.81799799799802</v>
      </c>
      <c r="B219" s="1">
        <v>15040.1643631896</v>
      </c>
      <c r="C219" s="1"/>
      <c r="D219" s="1"/>
      <c r="E219" s="1" t="b">
        <f>tblTNFa[[#This Row],[NetMFI]]&gt;B218</f>
        <v>1</v>
      </c>
    </row>
    <row r="220" spans="1:5" x14ac:dyDescent="0.2">
      <c r="A220" s="1">
        <v>436.81950950951</v>
      </c>
      <c r="B220" s="1">
        <v>15053.716648735701</v>
      </c>
      <c r="C220" s="1"/>
      <c r="D220" s="1"/>
      <c r="E220" s="1" t="b">
        <f>tblTNFa[[#This Row],[NetMFI]]&gt;B219</f>
        <v>1</v>
      </c>
    </row>
    <row r="221" spans="1:5" x14ac:dyDescent="0.2">
      <c r="A221" s="1">
        <v>438.82102102102101</v>
      </c>
      <c r="B221" s="1">
        <v>15067.1403820339</v>
      </c>
      <c r="C221" s="1"/>
      <c r="D221" s="1"/>
      <c r="E221" s="1" t="b">
        <f>tblTNFa[[#This Row],[NetMFI]]&gt;B220</f>
        <v>1</v>
      </c>
    </row>
    <row r="222" spans="1:5" x14ac:dyDescent="0.2">
      <c r="A222" s="1">
        <v>440.82253253253299</v>
      </c>
      <c r="B222" s="1">
        <v>15080.4372223872</v>
      </c>
      <c r="C222" s="1"/>
      <c r="D222" s="1"/>
      <c r="E222" s="1" t="b">
        <f>tblTNFa[[#This Row],[NetMFI]]&gt;B221</f>
        <v>1</v>
      </c>
    </row>
    <row r="223" spans="1:5" x14ac:dyDescent="0.2">
      <c r="A223" s="1">
        <v>442.824044044044</v>
      </c>
      <c r="B223" s="1">
        <v>15093.6088023869</v>
      </c>
      <c r="C223" s="1"/>
      <c r="D223" s="1"/>
      <c r="E223" s="1" t="b">
        <f>tblTNFa[[#This Row],[NetMFI]]&gt;B222</f>
        <v>1</v>
      </c>
    </row>
    <row r="224" spans="1:5" x14ac:dyDescent="0.2">
      <c r="A224" s="1">
        <v>444.82555555555598</v>
      </c>
      <c r="B224" s="1">
        <v>15106.6567284216</v>
      </c>
      <c r="C224" s="1"/>
      <c r="D224" s="1"/>
      <c r="E224" s="1" t="b">
        <f>tblTNFa[[#This Row],[NetMFI]]&gt;B223</f>
        <v>1</v>
      </c>
    </row>
    <row r="225" spans="1:5" x14ac:dyDescent="0.2">
      <c r="A225" s="1">
        <v>446.82706706706699</v>
      </c>
      <c r="B225" s="1">
        <v>15119.582581173499</v>
      </c>
      <c r="C225" s="1"/>
      <c r="D225" s="1"/>
      <c r="E225" s="1" t="b">
        <f>tblTNFa[[#This Row],[NetMFI]]&gt;B224</f>
        <v>1</v>
      </c>
    </row>
    <row r="226" spans="1:5" x14ac:dyDescent="0.2">
      <c r="A226" s="1">
        <v>448.82857857857903</v>
      </c>
      <c r="B226" s="1">
        <v>15132.387916105499</v>
      </c>
      <c r="C226" s="1"/>
      <c r="D226" s="1"/>
      <c r="E226" s="1" t="b">
        <f>tblTNFa[[#This Row],[NetMFI]]&gt;B225</f>
        <v>1</v>
      </c>
    </row>
    <row r="227" spans="1:5" x14ac:dyDescent="0.2">
      <c r="A227" s="1">
        <v>450.83009009008998</v>
      </c>
      <c r="B227" s="1">
        <v>15145.0742639367</v>
      </c>
      <c r="C227" s="1"/>
      <c r="D227" s="1"/>
      <c r="E227" s="1" t="b">
        <f>tblTNFa[[#This Row],[NetMFI]]&gt;B226</f>
        <v>1</v>
      </c>
    </row>
    <row r="228" spans="1:5" x14ac:dyDescent="0.2">
      <c r="A228" s="1">
        <v>452.83160160160202</v>
      </c>
      <c r="B228" s="1">
        <v>15157.6431311086</v>
      </c>
      <c r="C228" s="1"/>
      <c r="D228" s="1"/>
      <c r="E228" s="1" t="b">
        <f>tblTNFa[[#This Row],[NetMFI]]&gt;B227</f>
        <v>1</v>
      </c>
    </row>
    <row r="229" spans="1:5" x14ac:dyDescent="0.2">
      <c r="A229" s="1">
        <v>454.83311311311297</v>
      </c>
      <c r="B229" s="1">
        <v>15170.096000240799</v>
      </c>
      <c r="C229" s="1"/>
      <c r="D229" s="1"/>
      <c r="E229" s="1" t="b">
        <f>tblTNFa[[#This Row],[NetMFI]]&gt;B228</f>
        <v>1</v>
      </c>
    </row>
    <row r="230" spans="1:5" x14ac:dyDescent="0.2">
      <c r="A230" s="1">
        <v>456.83462462462501</v>
      </c>
      <c r="B230" s="1">
        <v>15182.4343305765</v>
      </c>
      <c r="C230" s="1"/>
      <c r="D230" s="1"/>
      <c r="E230" s="1" t="b">
        <f>tblTNFa[[#This Row],[NetMFI]]&gt;B229</f>
        <v>1</v>
      </c>
    </row>
    <row r="231" spans="1:5" x14ac:dyDescent="0.2">
      <c r="A231" s="1">
        <v>458.83613613613602</v>
      </c>
      <c r="B231" s="1">
        <v>15194.6595584198</v>
      </c>
      <c r="C231" s="1"/>
      <c r="D231" s="1"/>
      <c r="E231" s="1" t="b">
        <f>tblTNFa[[#This Row],[NetMFI]]&gt;B230</f>
        <v>1</v>
      </c>
    </row>
    <row r="232" spans="1:5" x14ac:dyDescent="0.2">
      <c r="A232" s="1">
        <v>460.837647647648</v>
      </c>
      <c r="B232" s="1">
        <v>15206.7730975624</v>
      </c>
      <c r="C232" s="1"/>
      <c r="D232" s="1"/>
      <c r="E232" s="1" t="b">
        <f>tblTNFa[[#This Row],[NetMFI]]&gt;B231</f>
        <v>1</v>
      </c>
    </row>
    <row r="233" spans="1:5" x14ac:dyDescent="0.2">
      <c r="A233" s="1">
        <v>462.83915915915901</v>
      </c>
      <c r="B233" s="1">
        <v>15218.776339702101</v>
      </c>
      <c r="C233" s="1"/>
      <c r="D233" s="1"/>
      <c r="E233" s="1" t="b">
        <f>tblTNFa[[#This Row],[NetMFI]]&gt;B232</f>
        <v>1</v>
      </c>
    </row>
    <row r="234" spans="1:5" x14ac:dyDescent="0.2">
      <c r="A234" s="1">
        <v>464.84067067067099</v>
      </c>
      <c r="B234" s="1">
        <v>15230.670654851599</v>
      </c>
      <c r="C234" s="1"/>
      <c r="D234" s="1"/>
      <c r="E234" s="1" t="b">
        <f>tblTNFa[[#This Row],[NetMFI]]&gt;B233</f>
        <v>1</v>
      </c>
    </row>
    <row r="235" spans="1:5" x14ac:dyDescent="0.2">
      <c r="A235" s="1">
        <v>466.842182182182</v>
      </c>
      <c r="B235" s="1">
        <v>15242.457391739599</v>
      </c>
      <c r="C235" s="1"/>
      <c r="D235" s="1"/>
      <c r="E235" s="1" t="b">
        <f>tblTNFa[[#This Row],[NetMFI]]&gt;B234</f>
        <v>1</v>
      </c>
    </row>
    <row r="236" spans="1:5" x14ac:dyDescent="0.2">
      <c r="A236" s="1">
        <v>468.84369369369398</v>
      </c>
      <c r="B236" s="1">
        <v>15254.137878202901</v>
      </c>
      <c r="C236" s="1"/>
      <c r="D236" s="1"/>
      <c r="E236" s="1" t="b">
        <f>tblTNFa[[#This Row],[NetMFI]]&gt;B235</f>
        <v>1</v>
      </c>
    </row>
    <row r="237" spans="1:5" x14ac:dyDescent="0.2">
      <c r="A237" s="1">
        <v>470.84520520520499</v>
      </c>
      <c r="B237" s="1">
        <v>15265.713421570101</v>
      </c>
      <c r="C237" s="1"/>
      <c r="D237" s="1"/>
      <c r="E237" s="1" t="b">
        <f>tblTNFa[[#This Row],[NetMFI]]&gt;B236</f>
        <v>1</v>
      </c>
    </row>
    <row r="238" spans="1:5" x14ac:dyDescent="0.2">
      <c r="A238" s="1">
        <v>472.84671671671703</v>
      </c>
      <c r="B238" s="1">
        <v>15277.185309037801</v>
      </c>
      <c r="C238" s="1"/>
      <c r="D238" s="1"/>
      <c r="E238" s="1" t="b">
        <f>tblTNFa[[#This Row],[NetMFI]]&gt;B237</f>
        <v>1</v>
      </c>
    </row>
    <row r="239" spans="1:5" x14ac:dyDescent="0.2">
      <c r="A239" s="1">
        <v>474.84822822822798</v>
      </c>
      <c r="B239" s="1">
        <v>15288.5548080381</v>
      </c>
      <c r="C239" s="1"/>
      <c r="D239" s="1"/>
      <c r="E239" s="1" t="b">
        <f>tblTNFa[[#This Row],[NetMFI]]&gt;B238</f>
        <v>1</v>
      </c>
    </row>
    <row r="240" spans="1:5" x14ac:dyDescent="0.2">
      <c r="A240" s="1">
        <v>476.84973973974002</v>
      </c>
      <c r="B240" s="1">
        <v>15299.823166599501</v>
      </c>
      <c r="C240" s="1"/>
      <c r="D240" s="1"/>
      <c r="E240" s="1" t="b">
        <f>tblTNFa[[#This Row],[NetMFI]]&gt;B239</f>
        <v>1</v>
      </c>
    </row>
    <row r="241" spans="1:5" x14ac:dyDescent="0.2">
      <c r="A241" s="1">
        <v>478.85125125125103</v>
      </c>
      <c r="B241" s="1">
        <v>15310.9916136993</v>
      </c>
      <c r="C241" s="1"/>
      <c r="D241" s="1"/>
      <c r="E241" s="1" t="b">
        <f>tblTNFa[[#This Row],[NetMFI]]&gt;B240</f>
        <v>1</v>
      </c>
    </row>
    <row r="242" spans="1:5" x14ac:dyDescent="0.2">
      <c r="A242" s="1">
        <v>480.85276276276301</v>
      </c>
      <c r="B242" s="1">
        <v>15322.061359609301</v>
      </c>
      <c r="C242" s="1"/>
      <c r="D242" s="1"/>
      <c r="E242" s="1" t="b">
        <f>tblTNFa[[#This Row],[NetMFI]]&gt;B241</f>
        <v>1</v>
      </c>
    </row>
    <row r="243" spans="1:5" x14ac:dyDescent="0.2">
      <c r="A243" s="1">
        <v>482.85427427427402</v>
      </c>
      <c r="B243" s="1">
        <v>15333.033596233799</v>
      </c>
      <c r="C243" s="1"/>
      <c r="D243" s="1"/>
      <c r="E243" s="1" t="b">
        <f>tblTNFa[[#This Row],[NetMFI]]&gt;B242</f>
        <v>1</v>
      </c>
    </row>
    <row r="244" spans="1:5" x14ac:dyDescent="0.2">
      <c r="A244" s="1">
        <v>484.855785785786</v>
      </c>
      <c r="B244" s="1">
        <v>15343.9094974411</v>
      </c>
      <c r="C244" s="1"/>
      <c r="D244" s="1"/>
      <c r="E244" s="1" t="b">
        <f>tblTNFa[[#This Row],[NetMFI]]&gt;B243</f>
        <v>1</v>
      </c>
    </row>
    <row r="245" spans="1:5" x14ac:dyDescent="0.2">
      <c r="A245" s="1">
        <v>486.85729729729701</v>
      </c>
      <c r="B245" s="1">
        <v>15354.690219387699</v>
      </c>
      <c r="C245" s="1"/>
      <c r="D245" s="1"/>
      <c r="E245" s="1" t="b">
        <f>tblTNFa[[#This Row],[NetMFI]]&gt;B244</f>
        <v>1</v>
      </c>
    </row>
    <row r="246" spans="1:5" x14ac:dyDescent="0.2">
      <c r="A246" s="1">
        <v>488.85880880880899</v>
      </c>
      <c r="B246" s="1">
        <v>15365.3769008365</v>
      </c>
      <c r="C246" s="1"/>
      <c r="D246" s="1"/>
      <c r="E246" s="1" t="b">
        <f>tblTNFa[[#This Row],[NetMFI]]&gt;B245</f>
        <v>1</v>
      </c>
    </row>
    <row r="247" spans="1:5" x14ac:dyDescent="0.2">
      <c r="A247" s="1">
        <v>490.86032032032</v>
      </c>
      <c r="B247" s="1">
        <v>15375.9706634677</v>
      </c>
      <c r="C247" s="1"/>
      <c r="D247" s="1"/>
      <c r="E247" s="1" t="b">
        <f>tblTNFa[[#This Row],[NetMFI]]&gt;B246</f>
        <v>1</v>
      </c>
    </row>
    <row r="248" spans="1:5" x14ac:dyDescent="0.2">
      <c r="A248" s="1">
        <v>492.86183183183198</v>
      </c>
      <c r="B248" s="1">
        <v>15386.472612183399</v>
      </c>
      <c r="C248" s="1"/>
      <c r="D248" s="1"/>
      <c r="E248" s="1" t="b">
        <f>tblTNFa[[#This Row],[NetMFI]]&gt;B247</f>
        <v>1</v>
      </c>
    </row>
    <row r="249" spans="1:5" x14ac:dyDescent="0.2">
      <c r="A249" s="1">
        <v>494.86334334334299</v>
      </c>
      <c r="B249" s="1">
        <v>15396.883835406799</v>
      </c>
      <c r="C249" s="1"/>
      <c r="D249" s="1"/>
      <c r="E249" s="1" t="b">
        <f>tblTNFa[[#This Row],[NetMFI]]&gt;B248</f>
        <v>1</v>
      </c>
    </row>
    <row r="250" spans="1:5" x14ac:dyDescent="0.2">
      <c r="A250" s="1">
        <v>496.86485485485503</v>
      </c>
      <c r="B250" s="1">
        <v>15407.205405374099</v>
      </c>
      <c r="C250" s="1"/>
      <c r="D250" s="1"/>
      <c r="E250" s="1" t="b">
        <f>tblTNFa[[#This Row],[NetMFI]]&gt;B249</f>
        <v>1</v>
      </c>
    </row>
    <row r="251" spans="1:5" x14ac:dyDescent="0.2">
      <c r="A251" s="1">
        <v>498.86636636636598</v>
      </c>
      <c r="B251" s="1">
        <v>15417.438378421701</v>
      </c>
      <c r="C251" s="1"/>
      <c r="D251" s="1"/>
      <c r="E251" s="1" t="b">
        <f>tblTNFa[[#This Row],[NetMFI]]&gt;B250</f>
        <v>1</v>
      </c>
    </row>
    <row r="252" spans="1:5" x14ac:dyDescent="0.2">
      <c r="A252" s="1">
        <v>500.86787787787802</v>
      </c>
      <c r="B252" s="1">
        <v>15427.5837952661</v>
      </c>
      <c r="C252" s="1"/>
      <c r="D252" s="1"/>
      <c r="E252" s="1" t="b">
        <f>tblTNFa[[#This Row],[NetMFI]]&gt;B251</f>
        <v>1</v>
      </c>
    </row>
    <row r="253" spans="1:5" x14ac:dyDescent="0.2">
      <c r="A253" s="1">
        <v>502.86938938938903</v>
      </c>
      <c r="B253" s="1">
        <v>15437.6426812797</v>
      </c>
      <c r="C253" s="1"/>
      <c r="D253" s="1"/>
      <c r="E253" s="1" t="b">
        <f>tblTNFa[[#This Row],[NetMFI]]&gt;B252</f>
        <v>1</v>
      </c>
    </row>
    <row r="254" spans="1:5" x14ac:dyDescent="0.2">
      <c r="A254" s="1">
        <v>504.87090090090101</v>
      </c>
      <c r="B254" s="1">
        <v>15447.6160467599</v>
      </c>
      <c r="C254" s="1"/>
      <c r="D254" s="1"/>
      <c r="E254" s="1" t="b">
        <f>tblTNFa[[#This Row],[NetMFI]]&gt;B253</f>
        <v>1</v>
      </c>
    </row>
    <row r="255" spans="1:5" x14ac:dyDescent="0.2">
      <c r="A255" s="1">
        <v>506.87241241241202</v>
      </c>
      <c r="B255" s="1">
        <v>15457.5048871933</v>
      </c>
      <c r="C255" s="1"/>
      <c r="D255" s="1"/>
      <c r="E255" s="1" t="b">
        <f>tblTNFa[[#This Row],[NetMFI]]&gt;B254</f>
        <v>1</v>
      </c>
    </row>
    <row r="256" spans="1:5" x14ac:dyDescent="0.2">
      <c r="A256" s="1">
        <v>508.873923923924</v>
      </c>
      <c r="B256" s="1">
        <v>15467.310183514001</v>
      </c>
      <c r="C256" s="1"/>
      <c r="D256" s="1"/>
      <c r="E256" s="1" t="b">
        <f>tblTNFa[[#This Row],[NetMFI]]&gt;B255</f>
        <v>1</v>
      </c>
    </row>
    <row r="257" spans="1:5" x14ac:dyDescent="0.2">
      <c r="A257" s="1">
        <v>510.87543543543501</v>
      </c>
      <c r="B257" s="1">
        <v>15477.0329023578</v>
      </c>
      <c r="C257" s="1"/>
      <c r="D257" s="1"/>
      <c r="E257" s="1" t="b">
        <f>tblTNFa[[#This Row],[NetMFI]]&gt;B256</f>
        <v>1</v>
      </c>
    </row>
    <row r="258" spans="1:5" x14ac:dyDescent="0.2">
      <c r="A258" s="1">
        <v>512.87694694694699</v>
      </c>
      <c r="B258" s="1">
        <v>15486.673996310299</v>
      </c>
      <c r="C258" s="1"/>
      <c r="D258" s="1"/>
      <c r="E258" s="1" t="b">
        <f>tblTNFa[[#This Row],[NetMFI]]&gt;B257</f>
        <v>1</v>
      </c>
    </row>
    <row r="259" spans="1:5" x14ac:dyDescent="0.2">
      <c r="A259" s="1">
        <v>514.878458458458</v>
      </c>
      <c r="B259" s="1">
        <v>15496.2344041503</v>
      </c>
      <c r="C259" s="1"/>
      <c r="D259" s="1"/>
      <c r="E259" s="1" t="b">
        <f>tblTNFa[[#This Row],[NetMFI]]&gt;B258</f>
        <v>1</v>
      </c>
    </row>
    <row r="260" spans="1:5" x14ac:dyDescent="0.2">
      <c r="A260" s="1">
        <v>516.87996996997003</v>
      </c>
      <c r="B260" s="1">
        <v>15505.7150510885</v>
      </c>
      <c r="C260" s="1"/>
      <c r="D260" s="1"/>
      <c r="E260" s="1" t="b">
        <f>tblTNFa[[#This Row],[NetMFI]]&gt;B259</f>
        <v>1</v>
      </c>
    </row>
    <row r="261" spans="1:5" x14ac:dyDescent="0.2">
      <c r="A261" s="1">
        <v>518.88148148148196</v>
      </c>
      <c r="B261" s="1">
        <v>15515.116849001701</v>
      </c>
      <c r="C261" s="1"/>
      <c r="D261" s="1"/>
      <c r="E261" s="1" t="b">
        <f>tblTNFa[[#This Row],[NetMFI]]&gt;B260</f>
        <v>1</v>
      </c>
    </row>
    <row r="262" spans="1:5" x14ac:dyDescent="0.2">
      <c r="A262" s="1">
        <v>520.88299299299297</v>
      </c>
      <c r="B262" s="1">
        <v>15524.440696661601</v>
      </c>
      <c r="C262" s="1"/>
      <c r="D262" s="1"/>
      <c r="E262" s="1" t="b">
        <f>tblTNFa[[#This Row],[NetMFI]]&gt;B261</f>
        <v>1</v>
      </c>
    </row>
    <row r="263" spans="1:5" x14ac:dyDescent="0.2">
      <c r="A263" s="1">
        <v>522.884504504505</v>
      </c>
      <c r="B263" s="1">
        <v>15533.687479959901</v>
      </c>
      <c r="C263" s="1"/>
      <c r="D263" s="1"/>
      <c r="E263" s="1" t="b">
        <f>tblTNFa[[#This Row],[NetMFI]]&gt;B262</f>
        <v>1</v>
      </c>
    </row>
    <row r="264" spans="1:5" x14ac:dyDescent="0.2">
      <c r="A264" s="1">
        <v>524.88601601601601</v>
      </c>
      <c r="B264" s="1">
        <v>15542.8580721282</v>
      </c>
      <c r="C264" s="1"/>
      <c r="D264" s="1"/>
      <c r="E264" s="1" t="b">
        <f>tblTNFa[[#This Row],[NetMFI]]&gt;B263</f>
        <v>1</v>
      </c>
    </row>
    <row r="265" spans="1:5" x14ac:dyDescent="0.2">
      <c r="A265" s="1">
        <v>526.88752752752805</v>
      </c>
      <c r="B265" s="1">
        <v>15551.9533339544</v>
      </c>
      <c r="C265" s="1"/>
      <c r="D265" s="1"/>
      <c r="E265" s="1" t="b">
        <f>tblTNFa[[#This Row],[NetMFI]]&gt;B264</f>
        <v>1</v>
      </c>
    </row>
    <row r="266" spans="1:5" x14ac:dyDescent="0.2">
      <c r="A266" s="1">
        <v>528.88903903903895</v>
      </c>
      <c r="B266" s="1">
        <v>15560.974113994</v>
      </c>
      <c r="C266" s="1"/>
      <c r="D266" s="1"/>
      <c r="E266" s="1" t="b">
        <f>tblTNFa[[#This Row],[NetMFI]]&gt;B265</f>
        <v>1</v>
      </c>
    </row>
    <row r="267" spans="1:5" x14ac:dyDescent="0.2">
      <c r="A267" s="1">
        <v>530.89055055055098</v>
      </c>
      <c r="B267" s="1">
        <v>15569.921248778001</v>
      </c>
      <c r="C267" s="1"/>
      <c r="D267" s="1"/>
      <c r="E267" s="1" t="b">
        <f>tblTNFa[[#This Row],[NetMFI]]&gt;B266</f>
        <v>1</v>
      </c>
    </row>
    <row r="268" spans="1:5" x14ac:dyDescent="0.2">
      <c r="A268" s="1">
        <v>532.892062062062</v>
      </c>
      <c r="B268" s="1">
        <v>15578.7955630161</v>
      </c>
      <c r="C268" s="1"/>
      <c r="D268" s="1"/>
      <c r="E268" s="1" t="b">
        <f>tblTNFa[[#This Row],[NetMFI]]&gt;B267</f>
        <v>1</v>
      </c>
    </row>
    <row r="269" spans="1:5" x14ac:dyDescent="0.2">
      <c r="A269" s="1">
        <v>534.89357357357403</v>
      </c>
      <c r="B269" s="1">
        <v>15587.5978697964</v>
      </c>
      <c r="C269" s="1"/>
      <c r="D269" s="1"/>
      <c r="E269" s="1" t="b">
        <f>tblTNFa[[#This Row],[NetMFI]]&gt;B268</f>
        <v>1</v>
      </c>
    </row>
    <row r="270" spans="1:5" x14ac:dyDescent="0.2">
      <c r="A270" s="1">
        <v>536.89508508508504</v>
      </c>
      <c r="B270" s="1">
        <v>15596.3289707811</v>
      </c>
      <c r="C270" s="1"/>
      <c r="D270" s="1"/>
      <c r="E270" s="1" t="b">
        <f>tblTNFa[[#This Row],[NetMFI]]&gt;B269</f>
        <v>1</v>
      </c>
    </row>
    <row r="271" spans="1:5" x14ac:dyDescent="0.2">
      <c r="A271" s="1">
        <v>538.89659659659696</v>
      </c>
      <c r="B271" s="1">
        <v>15604.9896563981</v>
      </c>
      <c r="C271" s="1"/>
      <c r="D271" s="1"/>
      <c r="E271" s="1" t="b">
        <f>tblTNFa[[#This Row],[NetMFI]]&gt;B270</f>
        <v>1</v>
      </c>
    </row>
    <row r="272" spans="1:5" x14ac:dyDescent="0.2">
      <c r="A272" s="1">
        <v>540.89810810810798</v>
      </c>
      <c r="B272" s="1">
        <v>15613.580706029399</v>
      </c>
      <c r="C272" s="1"/>
      <c r="D272" s="1"/>
      <c r="E272" s="1" t="b">
        <f>tblTNFa[[#This Row],[NetMFI]]&gt;B271</f>
        <v>1</v>
      </c>
    </row>
    <row r="273" spans="1:5" x14ac:dyDescent="0.2">
      <c r="A273" s="1">
        <v>542.89961961962001</v>
      </c>
      <c r="B273" s="1">
        <v>15622.102888195501</v>
      </c>
      <c r="C273" s="1"/>
      <c r="D273" s="1"/>
      <c r="E273" s="1" t="b">
        <f>tblTNFa[[#This Row],[NetMFI]]&gt;B272</f>
        <v>1</v>
      </c>
    </row>
    <row r="274" spans="1:5" x14ac:dyDescent="0.2">
      <c r="A274" s="1">
        <v>544.90113113113102</v>
      </c>
      <c r="B274" s="1">
        <v>15630.5569607364</v>
      </c>
      <c r="C274" s="1"/>
      <c r="D274" s="1"/>
      <c r="E274" s="1" t="b">
        <f>tblTNFa[[#This Row],[NetMFI]]&gt;B273</f>
        <v>1</v>
      </c>
    </row>
    <row r="275" spans="1:5" x14ac:dyDescent="0.2">
      <c r="A275" s="1">
        <v>546.90264264264295</v>
      </c>
      <c r="B275" s="1">
        <v>15638.9436709891</v>
      </c>
      <c r="C275" s="1"/>
      <c r="D275" s="1"/>
      <c r="E275" s="1" t="b">
        <f>tblTNFa[[#This Row],[NetMFI]]&gt;B274</f>
        <v>1</v>
      </c>
    </row>
    <row r="276" spans="1:5" x14ac:dyDescent="0.2">
      <c r="A276" s="1">
        <v>548.90415415415396</v>
      </c>
      <c r="B276" s="1">
        <v>15647.263755961299</v>
      </c>
      <c r="C276" s="1"/>
      <c r="D276" s="1"/>
      <c r="E276" s="1" t="b">
        <f>tblTNFa[[#This Row],[NetMFI]]&gt;B275</f>
        <v>1</v>
      </c>
    </row>
    <row r="277" spans="1:5" x14ac:dyDescent="0.2">
      <c r="A277" s="1">
        <v>550.90566566566599</v>
      </c>
      <c r="B277" s="1">
        <v>15655.5179425027</v>
      </c>
      <c r="C277" s="1"/>
      <c r="D277" s="1"/>
      <c r="E277" s="1" t="b">
        <f>tblTNFa[[#This Row],[NetMFI]]&gt;B276</f>
        <v>1</v>
      </c>
    </row>
    <row r="278" spans="1:5" x14ac:dyDescent="0.2">
      <c r="A278" s="1">
        <v>552.907177177177</v>
      </c>
      <c r="B278" s="1">
        <v>15663.706947472299</v>
      </c>
      <c r="C278" s="1"/>
      <c r="D278" s="1"/>
      <c r="E278" s="1" t="b">
        <f>tblTNFa[[#This Row],[NetMFI]]&gt;B277</f>
        <v>1</v>
      </c>
    </row>
    <row r="279" spans="1:5" x14ac:dyDescent="0.2">
      <c r="A279" s="1">
        <v>554.90868868868904</v>
      </c>
      <c r="B279" s="1">
        <v>15671.8314779023</v>
      </c>
      <c r="C279" s="1"/>
      <c r="D279" s="1"/>
      <c r="E279" s="1" t="b">
        <f>tblTNFa[[#This Row],[NetMFI]]&gt;B278</f>
        <v>1</v>
      </c>
    </row>
    <row r="280" spans="1:5" x14ac:dyDescent="0.2">
      <c r="A280" s="1">
        <v>556.91020020020005</v>
      </c>
      <c r="B280" s="1">
        <v>15679.8922311599</v>
      </c>
      <c r="C280" s="1"/>
      <c r="D280" s="1"/>
      <c r="E280" s="1" t="b">
        <f>tblTNFa[[#This Row],[NetMFI]]&gt;B279</f>
        <v>1</v>
      </c>
    </row>
    <row r="281" spans="1:5" x14ac:dyDescent="0.2">
      <c r="A281" s="1">
        <v>558.91171171171197</v>
      </c>
      <c r="B281" s="1">
        <v>15687.8898951048</v>
      </c>
      <c r="C281" s="1"/>
      <c r="D281" s="1"/>
      <c r="E281" s="1" t="b">
        <f>tblTNFa[[#This Row],[NetMFI]]&gt;B280</f>
        <v>1</v>
      </c>
    </row>
    <row r="282" spans="1:5" x14ac:dyDescent="0.2">
      <c r="A282" s="1">
        <v>560.91322322322299</v>
      </c>
      <c r="B282" s="1">
        <v>15695.825148245</v>
      </c>
      <c r="C282" s="1"/>
      <c r="D282" s="1"/>
      <c r="E282" s="1" t="b">
        <f>tblTNFa[[#This Row],[NetMFI]]&gt;B281</f>
        <v>1</v>
      </c>
    </row>
    <row r="283" spans="1:5" x14ac:dyDescent="0.2">
      <c r="A283" s="1">
        <v>562.91473473473502</v>
      </c>
      <c r="B283" s="1">
        <v>15703.6986598883</v>
      </c>
      <c r="C283" s="1"/>
      <c r="D283" s="1"/>
      <c r="E283" s="1" t="b">
        <f>tblTNFa[[#This Row],[NetMFI]]&gt;B282</f>
        <v>1</v>
      </c>
    </row>
    <row r="284" spans="1:5" x14ac:dyDescent="0.2">
      <c r="A284" s="1">
        <v>564.91624624624603</v>
      </c>
      <c r="B284" s="1">
        <v>15711.511090292201</v>
      </c>
      <c r="C284" s="1"/>
      <c r="D284" s="1"/>
      <c r="E284" s="1" t="b">
        <f>tblTNFa[[#This Row],[NetMFI]]&gt;B283</f>
        <v>1</v>
      </c>
    </row>
    <row r="285" spans="1:5" x14ac:dyDescent="0.2">
      <c r="A285" s="1">
        <v>566.91775775775795</v>
      </c>
      <c r="B285" s="1">
        <v>15719.2630908101</v>
      </c>
      <c r="C285" s="1"/>
      <c r="D285" s="1"/>
      <c r="E285" s="1" t="b">
        <f>tblTNFa[[#This Row],[NetMFI]]&gt;B284</f>
        <v>1</v>
      </c>
    </row>
    <row r="286" spans="1:5" x14ac:dyDescent="0.2">
      <c r="A286" s="1">
        <v>568.91926926926897</v>
      </c>
      <c r="B286" s="1">
        <v>15726.9553040354</v>
      </c>
      <c r="C286" s="1"/>
      <c r="D286" s="1"/>
      <c r="E286" s="1" t="b">
        <f>tblTNFa[[#This Row],[NetMFI]]&gt;B285</f>
        <v>1</v>
      </c>
    </row>
    <row r="287" spans="1:5" x14ac:dyDescent="0.2">
      <c r="A287" s="1">
        <v>570.920780780781</v>
      </c>
      <c r="B287" s="1">
        <v>15734.588363942299</v>
      </c>
      <c r="C287" s="1"/>
      <c r="D287" s="1"/>
      <c r="E287" s="1" t="b">
        <f>tblTNFa[[#This Row],[NetMFI]]&gt;B286</f>
        <v>1</v>
      </c>
    </row>
    <row r="288" spans="1:5" x14ac:dyDescent="0.2">
      <c r="A288" s="1">
        <v>572.92229229229201</v>
      </c>
      <c r="B288" s="1">
        <v>15742.1628960244</v>
      </c>
      <c r="C288" s="1"/>
      <c r="D288" s="1"/>
      <c r="E288" s="1" t="b">
        <f>tblTNFa[[#This Row],[NetMFI]]&gt;B287</f>
        <v>1</v>
      </c>
    </row>
    <row r="289" spans="1:5" x14ac:dyDescent="0.2">
      <c r="A289" s="1">
        <v>574.92380380380405</v>
      </c>
      <c r="B289" s="1">
        <v>15749.679517430901</v>
      </c>
      <c r="C289" s="1"/>
      <c r="D289" s="1"/>
      <c r="E289" s="1" t="b">
        <f>tblTNFa[[#This Row],[NetMFI]]&gt;B288</f>
        <v>1</v>
      </c>
    </row>
    <row r="290" spans="1:5" x14ac:dyDescent="0.2">
      <c r="A290" s="1">
        <v>576.92531531531495</v>
      </c>
      <c r="B290" s="1">
        <v>15757.138837099201</v>
      </c>
      <c r="C290" s="1"/>
      <c r="D290" s="1"/>
      <c r="E290" s="1" t="b">
        <f>tblTNFa[[#This Row],[NetMFI]]&gt;B289</f>
        <v>1</v>
      </c>
    </row>
    <row r="291" spans="1:5" x14ac:dyDescent="0.2">
      <c r="A291" s="1">
        <v>578.92682682682698</v>
      </c>
      <c r="B291" s="1">
        <v>15764.541455887</v>
      </c>
      <c r="C291" s="1"/>
      <c r="D291" s="1"/>
      <c r="E291" s="1" t="b">
        <f>tblTNFa[[#This Row],[NetMFI]]&gt;B290</f>
        <v>1</v>
      </c>
    </row>
    <row r="292" spans="1:5" x14ac:dyDescent="0.2">
      <c r="A292" s="1">
        <v>580.92833833833799</v>
      </c>
      <c r="B292" s="1">
        <v>15771.8879666998</v>
      </c>
      <c r="C292" s="1"/>
      <c r="D292" s="1"/>
      <c r="E292" s="1" t="b">
        <f>tblTNFa[[#This Row],[NetMFI]]&gt;B291</f>
        <v>1</v>
      </c>
    </row>
    <row r="293" spans="1:5" x14ac:dyDescent="0.2">
      <c r="A293" s="1">
        <v>582.92984984985003</v>
      </c>
      <c r="B293" s="1">
        <v>15779.1789546173</v>
      </c>
      <c r="C293" s="1"/>
      <c r="D293" s="1"/>
      <c r="E293" s="1" t="b">
        <f>tblTNFa[[#This Row],[NetMFI]]&gt;B292</f>
        <v>1</v>
      </c>
    </row>
    <row r="294" spans="1:5" x14ac:dyDescent="0.2">
      <c r="A294" s="1">
        <v>584.93136136136104</v>
      </c>
      <c r="B294" s="1">
        <v>15786.4149970176</v>
      </c>
      <c r="C294" s="1"/>
      <c r="D294" s="1"/>
      <c r="E294" s="1" t="b">
        <f>tblTNFa[[#This Row],[NetMFI]]&gt;B293</f>
        <v>1</v>
      </c>
    </row>
    <row r="295" spans="1:5" x14ac:dyDescent="0.2">
      <c r="A295" s="1">
        <v>586.93287287287296</v>
      </c>
      <c r="B295" s="1">
        <v>15793.596663698499</v>
      </c>
      <c r="C295" s="1"/>
      <c r="D295" s="1"/>
      <c r="E295" s="1" t="b">
        <f>tblTNFa[[#This Row],[NetMFI]]&gt;B294</f>
        <v>1</v>
      </c>
    </row>
    <row r="296" spans="1:5" x14ac:dyDescent="0.2">
      <c r="A296" s="1">
        <v>588.93438438438397</v>
      </c>
      <c r="B296" s="1">
        <v>15800.724516996601</v>
      </c>
      <c r="C296" s="1"/>
      <c r="D296" s="1"/>
      <c r="E296" s="1" t="b">
        <f>tblTNFa[[#This Row],[NetMFI]]&gt;B295</f>
        <v>1</v>
      </c>
    </row>
    <row r="297" spans="1:5" x14ac:dyDescent="0.2">
      <c r="A297" s="1">
        <v>590.93589589589601</v>
      </c>
      <c r="B297" s="1">
        <v>15807.7991119049</v>
      </c>
      <c r="C297" s="1"/>
      <c r="D297" s="1"/>
      <c r="E297" s="1" t="b">
        <f>tblTNFa[[#This Row],[NetMFI]]&gt;B296</f>
        <v>1</v>
      </c>
    </row>
    <row r="298" spans="1:5" x14ac:dyDescent="0.2">
      <c r="A298" s="1">
        <v>592.93740740740702</v>
      </c>
      <c r="B298" s="1">
        <v>15814.8209961875</v>
      </c>
      <c r="C298" s="1"/>
      <c r="D298" s="1"/>
      <c r="E298" s="1" t="b">
        <f>tblTNFa[[#This Row],[NetMFI]]&gt;B297</f>
        <v>1</v>
      </c>
    </row>
    <row r="299" spans="1:5" x14ac:dyDescent="0.2">
      <c r="A299" s="1">
        <v>594.93891891891894</v>
      </c>
      <c r="B299" s="1">
        <v>15821.7907104928</v>
      </c>
      <c r="C299" s="1"/>
      <c r="D299" s="1"/>
      <c r="E299" s="1" t="b">
        <f>tblTNFa[[#This Row],[NetMFI]]&gt;B298</f>
        <v>1</v>
      </c>
    </row>
    <row r="300" spans="1:5" x14ac:dyDescent="0.2">
      <c r="A300" s="1">
        <v>596.94043043043098</v>
      </c>
      <c r="B300" s="1">
        <v>15828.708788464101</v>
      </c>
      <c r="C300" s="1"/>
      <c r="D300" s="1"/>
      <c r="E300" s="1" t="b">
        <f>tblTNFa[[#This Row],[NetMFI]]&gt;B299</f>
        <v>1</v>
      </c>
    </row>
    <row r="301" spans="1:5" x14ac:dyDescent="0.2">
      <c r="A301" s="1">
        <v>598.94194194194199</v>
      </c>
      <c r="B301" s="1">
        <v>15835.575756849001</v>
      </c>
      <c r="C301" s="1"/>
      <c r="D301" s="1"/>
      <c r="E301" s="1" t="b">
        <f>tblTNFa[[#This Row],[NetMFI]]&gt;B300</f>
        <v>1</v>
      </c>
    </row>
    <row r="302" spans="1:5" x14ac:dyDescent="0.2">
      <c r="A302" s="1">
        <v>600.943453453453</v>
      </c>
      <c r="B302" s="1">
        <v>15842.3921356056</v>
      </c>
      <c r="C302" s="1"/>
      <c r="D302" s="1"/>
      <c r="E302" s="1" t="b">
        <f>tblTNFa[[#This Row],[NetMFI]]&gt;B301</f>
        <v>1</v>
      </c>
    </row>
    <row r="303" spans="1:5" x14ac:dyDescent="0.2">
      <c r="A303" s="1">
        <v>602.94496496496504</v>
      </c>
      <c r="B303" s="1">
        <v>15849.1584380082</v>
      </c>
      <c r="C303" s="1"/>
      <c r="D303" s="1"/>
      <c r="E303" s="1" t="b">
        <f>tblTNFa[[#This Row],[NetMFI]]&gt;B302</f>
        <v>1</v>
      </c>
    </row>
    <row r="304" spans="1:5" x14ac:dyDescent="0.2">
      <c r="A304" s="1">
        <v>604.94647647647696</v>
      </c>
      <c r="B304" s="1">
        <v>15855.87517075</v>
      </c>
      <c r="C304" s="1"/>
      <c r="D304" s="1"/>
      <c r="E304" s="1" t="b">
        <f>tblTNFa[[#This Row],[NetMFI]]&gt;B303</f>
        <v>1</v>
      </c>
    </row>
    <row r="305" spans="1:5" x14ac:dyDescent="0.2">
      <c r="A305" s="1">
        <v>606.94798798798797</v>
      </c>
      <c r="B305" s="1">
        <v>15862.5428340446</v>
      </c>
      <c r="C305" s="1"/>
      <c r="D305" s="1"/>
      <c r="E305" s="1" t="b">
        <f>tblTNFa[[#This Row],[NetMFI]]&gt;B304</f>
        <v>1</v>
      </c>
    </row>
    <row r="306" spans="1:5" x14ac:dyDescent="0.2">
      <c r="A306" s="1">
        <v>608.94949949950001</v>
      </c>
      <c r="B306" s="1">
        <v>15869.161921725499</v>
      </c>
      <c r="C306" s="1"/>
      <c r="D306" s="1"/>
      <c r="E306" s="1" t="b">
        <f>tblTNFa[[#This Row],[NetMFI]]&gt;B305</f>
        <v>1</v>
      </c>
    </row>
    <row r="307" spans="1:5" x14ac:dyDescent="0.2">
      <c r="A307" s="1">
        <v>610.95101101101102</v>
      </c>
      <c r="B307" s="1">
        <v>15875.732921343601</v>
      </c>
      <c r="C307" s="1"/>
      <c r="D307" s="1"/>
      <c r="E307" s="1" t="b">
        <f>tblTNFa[[#This Row],[NetMFI]]&gt;B306</f>
        <v>1</v>
      </c>
    </row>
    <row r="308" spans="1:5" x14ac:dyDescent="0.2">
      <c r="A308" s="1">
        <v>612.95252252252305</v>
      </c>
      <c r="B308" s="1">
        <v>15882.256314263401</v>
      </c>
      <c r="C308" s="1"/>
      <c r="D308" s="1"/>
      <c r="E308" s="1" t="b">
        <f>tblTNFa[[#This Row],[NetMFI]]&gt;B307</f>
        <v>1</v>
      </c>
    </row>
    <row r="309" spans="1:5" x14ac:dyDescent="0.2">
      <c r="A309" s="1">
        <v>614.95403403403395</v>
      </c>
      <c r="B309" s="1">
        <v>15888.732575757</v>
      </c>
      <c r="C309" s="1"/>
      <c r="D309" s="1"/>
      <c r="E309" s="1" t="b">
        <f>tblTNFa[[#This Row],[NetMFI]]&gt;B308</f>
        <v>1</v>
      </c>
    </row>
    <row r="310" spans="1:5" x14ac:dyDescent="0.2">
      <c r="A310" s="1">
        <v>616.95554554554599</v>
      </c>
      <c r="B310" s="1">
        <v>15895.162175097201</v>
      </c>
      <c r="C310" s="1"/>
      <c r="D310" s="1"/>
      <c r="E310" s="1" t="b">
        <f>tblTNFa[[#This Row],[NetMFI]]&gt;B309</f>
        <v>1</v>
      </c>
    </row>
    <row r="311" spans="1:5" x14ac:dyDescent="0.2">
      <c r="A311" s="1">
        <v>618.957057057057</v>
      </c>
      <c r="B311" s="1">
        <v>15901.5455756478</v>
      </c>
      <c r="C311" s="1"/>
      <c r="D311" s="1"/>
      <c r="E311" s="1" t="b">
        <f>tblTNFa[[#This Row],[NetMFI]]&gt;B310</f>
        <v>1</v>
      </c>
    </row>
    <row r="312" spans="1:5" x14ac:dyDescent="0.2">
      <c r="A312" s="1">
        <v>620.95856856856904</v>
      </c>
      <c r="B312" s="1">
        <v>15907.8832349534</v>
      </c>
      <c r="C312" s="1"/>
      <c r="D312" s="1"/>
      <c r="E312" s="1" t="b">
        <f>tblTNFa[[#This Row],[NetMFI]]&gt;B311</f>
        <v>1</v>
      </c>
    </row>
    <row r="313" spans="1:5" x14ac:dyDescent="0.2">
      <c r="A313" s="1">
        <v>622.96008008008005</v>
      </c>
      <c r="B313" s="1">
        <v>15914.1756048274</v>
      </c>
      <c r="C313" s="1"/>
      <c r="D313" s="1"/>
      <c r="E313" s="1" t="b">
        <f>tblTNFa[[#This Row],[NetMFI]]&gt;B312</f>
        <v>1</v>
      </c>
    </row>
    <row r="314" spans="1:5" x14ac:dyDescent="0.2">
      <c r="A314" s="1">
        <v>624.96159159159197</v>
      </c>
      <c r="B314" s="1">
        <v>15920.423131437699</v>
      </c>
      <c r="C314" s="1"/>
      <c r="D314" s="1"/>
      <c r="E314" s="1" t="b">
        <f>tblTNFa[[#This Row],[NetMFI]]&gt;B313</f>
        <v>1</v>
      </c>
    </row>
    <row r="315" spans="1:5" x14ac:dyDescent="0.2">
      <c r="A315" s="1">
        <v>626.96310310310298</v>
      </c>
      <c r="B315" s="1">
        <v>15926.6262553919</v>
      </c>
      <c r="C315" s="1"/>
      <c r="D315" s="1"/>
      <c r="E315" s="1" t="b">
        <f>tblTNFa[[#This Row],[NetMFI]]&gt;B314</f>
        <v>1</v>
      </c>
    </row>
    <row r="316" spans="1:5" x14ac:dyDescent="0.2">
      <c r="A316" s="1">
        <v>628.96461461461502</v>
      </c>
      <c r="B316" s="1">
        <v>15932.785411820199</v>
      </c>
      <c r="C316" s="1"/>
      <c r="D316" s="1"/>
      <c r="E316" s="1" t="b">
        <f>tblTNFa[[#This Row],[NetMFI]]&gt;B315</f>
        <v>1</v>
      </c>
    </row>
    <row r="317" spans="1:5" x14ac:dyDescent="0.2">
      <c r="A317" s="1">
        <v>630.96612612612603</v>
      </c>
      <c r="B317" s="1">
        <v>15938.901030457901</v>
      </c>
      <c r="C317" s="1"/>
      <c r="D317" s="1"/>
      <c r="E317" s="1" t="b">
        <f>tblTNFa[[#This Row],[NetMFI]]&gt;B316</f>
        <v>1</v>
      </c>
    </row>
    <row r="318" spans="1:5" x14ac:dyDescent="0.2">
      <c r="A318" s="1">
        <v>632.96763763763795</v>
      </c>
      <c r="B318" s="1">
        <v>15944.973535724899</v>
      </c>
      <c r="C318" s="1"/>
      <c r="D318" s="1"/>
      <c r="E318" s="1" t="b">
        <f>tblTNFa[[#This Row],[NetMFI]]&gt;B317</f>
        <v>1</v>
      </c>
    </row>
    <row r="319" spans="1:5" x14ac:dyDescent="0.2">
      <c r="A319" s="1">
        <v>634.96914914914896</v>
      </c>
      <c r="B319" s="1">
        <v>15951.003346805601</v>
      </c>
      <c r="C319" s="1"/>
      <c r="D319" s="1"/>
      <c r="E319" s="1" t="b">
        <f>tblTNFa[[#This Row],[NetMFI]]&gt;B318</f>
        <v>1</v>
      </c>
    </row>
    <row r="320" spans="1:5" x14ac:dyDescent="0.2">
      <c r="A320" s="1">
        <v>636.970660660661</v>
      </c>
      <c r="B320" s="1">
        <v>15956.990877725801</v>
      </c>
      <c r="C320" s="1"/>
      <c r="D320" s="1"/>
      <c r="E320" s="1" t="b">
        <f>tblTNFa[[#This Row],[NetMFI]]&gt;B319</f>
        <v>1</v>
      </c>
    </row>
    <row r="321" spans="1:5" x14ac:dyDescent="0.2">
      <c r="A321" s="1">
        <v>638.97217217217201</v>
      </c>
      <c r="B321" s="1">
        <v>15962.9365374298</v>
      </c>
      <c r="C321" s="1"/>
      <c r="D321" s="1"/>
      <c r="E321" s="1" t="b">
        <f>tblTNFa[[#This Row],[NetMFI]]&gt;B320</f>
        <v>1</v>
      </c>
    </row>
    <row r="322" spans="1:5" x14ac:dyDescent="0.2">
      <c r="A322" s="1">
        <v>640.97368368368404</v>
      </c>
      <c r="B322" s="1">
        <v>15968.840729854601</v>
      </c>
      <c r="C322" s="1"/>
      <c r="D322" s="1"/>
      <c r="E322" s="1" t="b">
        <f>tblTNFa[[#This Row],[NetMFI]]&gt;B321</f>
        <v>1</v>
      </c>
    </row>
    <row r="323" spans="1:5" x14ac:dyDescent="0.2">
      <c r="A323" s="1">
        <v>642.97519519519506</v>
      </c>
      <c r="B323" s="1">
        <v>15974.703854004199</v>
      </c>
      <c r="C323" s="1"/>
      <c r="D323" s="1"/>
      <c r="E323" s="1" t="b">
        <f>tblTNFa[[#This Row],[NetMFI]]&gt;B322</f>
        <v>1</v>
      </c>
    </row>
    <row r="324" spans="1:5" x14ac:dyDescent="0.2">
      <c r="A324" s="1">
        <v>644.97670670670698</v>
      </c>
      <c r="B324" s="1">
        <v>15980.5263040218</v>
      </c>
      <c r="C324" s="1"/>
      <c r="D324" s="1"/>
      <c r="E324" s="1" t="b">
        <f>tblTNFa[[#This Row],[NetMFI]]&gt;B323</f>
        <v>1</v>
      </c>
    </row>
    <row r="325" spans="1:5" x14ac:dyDescent="0.2">
      <c r="A325" s="1">
        <v>646.97821821821799</v>
      </c>
      <c r="B325" s="1">
        <v>15986.308469261199</v>
      </c>
      <c r="C325" s="1"/>
      <c r="D325" s="1"/>
      <c r="E325" s="1" t="b">
        <f>tblTNFa[[#This Row],[NetMFI]]&gt;B324</f>
        <v>1</v>
      </c>
    </row>
    <row r="326" spans="1:5" x14ac:dyDescent="0.2">
      <c r="A326" s="1">
        <v>648.97972972973002</v>
      </c>
      <c r="B326" s="1">
        <v>15992.050734356701</v>
      </c>
      <c r="C326" s="1"/>
      <c r="D326" s="1"/>
      <c r="E326" s="1" t="b">
        <f>tblTNFa[[#This Row],[NetMFI]]&gt;B325</f>
        <v>1</v>
      </c>
    </row>
    <row r="327" spans="1:5" x14ac:dyDescent="0.2">
      <c r="A327" s="1">
        <v>650.98124124124104</v>
      </c>
      <c r="B327" s="1">
        <v>15997.753479291699</v>
      </c>
      <c r="C327" s="1"/>
      <c r="D327" s="1"/>
      <c r="E327" s="1" t="b">
        <f>tblTNFa[[#This Row],[NetMFI]]&gt;B326</f>
        <v>1</v>
      </c>
    </row>
    <row r="328" spans="1:5" x14ac:dyDescent="0.2">
      <c r="A328" s="1">
        <v>652.98275275275296</v>
      </c>
      <c r="B328" s="1">
        <v>16003.417079466801</v>
      </c>
      <c r="C328" s="1"/>
      <c r="D328" s="1"/>
      <c r="E328" s="1" t="b">
        <f>tblTNFa[[#This Row],[NetMFI]]&gt;B327</f>
        <v>1</v>
      </c>
    </row>
    <row r="329" spans="1:5" x14ac:dyDescent="0.2">
      <c r="A329" s="1">
        <v>654.98426426426397</v>
      </c>
      <c r="B329" s="1">
        <v>16009.0419057661</v>
      </c>
      <c r="C329" s="1"/>
      <c r="D329" s="1"/>
      <c r="E329" s="1" t="b">
        <f>tblTNFa[[#This Row],[NetMFI]]&gt;B328</f>
        <v>1</v>
      </c>
    </row>
    <row r="330" spans="1:5" x14ac:dyDescent="0.2">
      <c r="A330" s="1">
        <v>656.98577577577601</v>
      </c>
      <c r="B330" s="1">
        <v>16014.628324622499</v>
      </c>
      <c r="C330" s="1"/>
      <c r="D330" s="1"/>
      <c r="E330" s="1" t="b">
        <f>tblTNFa[[#This Row],[NetMFI]]&gt;B329</f>
        <v>1</v>
      </c>
    </row>
    <row r="331" spans="1:5" x14ac:dyDescent="0.2">
      <c r="A331" s="1">
        <v>658.98728728728702</v>
      </c>
      <c r="B331" s="1">
        <v>16020.176698082099</v>
      </c>
      <c r="C331" s="1"/>
      <c r="D331" s="1"/>
      <c r="E331" s="1" t="b">
        <f>tblTNFa[[#This Row],[NetMFI]]&gt;B330</f>
        <v>1</v>
      </c>
    </row>
    <row r="332" spans="1:5" x14ac:dyDescent="0.2">
      <c r="A332" s="1">
        <v>660.98879879879905</v>
      </c>
      <c r="B332" s="1">
        <v>16025.6873838673</v>
      </c>
      <c r="C332" s="1"/>
      <c r="D332" s="1"/>
      <c r="E332" s="1" t="b">
        <f>tblTNFa[[#This Row],[NetMFI]]&gt;B331</f>
        <v>1</v>
      </c>
    </row>
    <row r="333" spans="1:5" x14ac:dyDescent="0.2">
      <c r="A333" s="1">
        <v>662.99031031030995</v>
      </c>
      <c r="B333" s="1">
        <v>16031.1607354393</v>
      </c>
      <c r="C333" s="1"/>
      <c r="D333" s="1"/>
      <c r="E333" s="1" t="b">
        <f>tblTNFa[[#This Row],[NetMFI]]&gt;B332</f>
        <v>1</v>
      </c>
    </row>
    <row r="334" spans="1:5" x14ac:dyDescent="0.2">
      <c r="A334" s="1">
        <v>664.99182182182199</v>
      </c>
      <c r="B334" s="1">
        <v>16036.5971020585</v>
      </c>
      <c r="C334" s="1"/>
      <c r="D334" s="1"/>
      <c r="E334" s="1" t="b">
        <f>tblTNFa[[#This Row],[NetMFI]]&gt;B333</f>
        <v>1</v>
      </c>
    </row>
    <row r="335" spans="1:5" x14ac:dyDescent="0.2">
      <c r="A335" s="1">
        <v>666.993333333333</v>
      </c>
      <c r="B335" s="1">
        <v>16041.9968288454</v>
      </c>
      <c r="C335" s="1"/>
      <c r="D335" s="1"/>
      <c r="E335" s="1" t="b">
        <f>tblTNFa[[#This Row],[NetMFI]]&gt;B334</f>
        <v>1</v>
      </c>
    </row>
    <row r="336" spans="1:5" x14ac:dyDescent="0.2">
      <c r="A336" s="1">
        <v>668.99484484484503</v>
      </c>
      <c r="B336" s="1">
        <v>16047.3602568392</v>
      </c>
      <c r="C336" s="1"/>
      <c r="D336" s="1"/>
      <c r="E336" s="1" t="b">
        <f>tblTNFa[[#This Row],[NetMFI]]&gt;B335</f>
        <v>1</v>
      </c>
    </row>
    <row r="337" spans="1:5" x14ac:dyDescent="0.2">
      <c r="A337" s="1">
        <v>670.99635635635605</v>
      </c>
      <c r="B337" s="1">
        <v>16052.687723056</v>
      </c>
      <c r="C337" s="1"/>
      <c r="D337" s="1"/>
      <c r="E337" s="1" t="b">
        <f>tblTNFa[[#This Row],[NetMFI]]&gt;B336</f>
        <v>1</v>
      </c>
    </row>
    <row r="338" spans="1:5" x14ac:dyDescent="0.2">
      <c r="A338" s="1">
        <v>672.99786786786797</v>
      </c>
      <c r="B338" s="1">
        <v>16057.979560546</v>
      </c>
      <c r="C338" s="1"/>
      <c r="D338" s="1"/>
      <c r="E338" s="1" t="b">
        <f>tblTNFa[[#This Row],[NetMFI]]&gt;B337</f>
        <v>1</v>
      </c>
    </row>
    <row r="339" spans="1:5" x14ac:dyDescent="0.2">
      <c r="A339" s="1">
        <v>674.99937937937898</v>
      </c>
      <c r="B339" s="1">
        <v>16063.236098449799</v>
      </c>
      <c r="C339" s="1"/>
      <c r="D339" s="1"/>
      <c r="E339" s="1" t="b">
        <f>tblTNFa[[#This Row],[NetMFI]]&gt;B338</f>
        <v>1</v>
      </c>
    </row>
    <row r="340" spans="1:5" x14ac:dyDescent="0.2">
      <c r="A340" s="1">
        <v>677.00089089089101</v>
      </c>
      <c r="B340" s="1">
        <v>16068.457662053201</v>
      </c>
      <c r="C340" s="1"/>
      <c r="D340" s="1"/>
      <c r="E340" s="1" t="b">
        <f>tblTNFa[[#This Row],[NetMFI]]&gt;B339</f>
        <v>1</v>
      </c>
    </row>
    <row r="341" spans="1:5" x14ac:dyDescent="0.2">
      <c r="A341" s="1">
        <v>679.00240240240203</v>
      </c>
      <c r="B341" s="1">
        <v>16073.644572842401</v>
      </c>
      <c r="C341" s="1"/>
      <c r="D341" s="1"/>
      <c r="E341" s="1" t="b">
        <f>tblTNFa[[#This Row],[NetMFI]]&gt;B340</f>
        <v>1</v>
      </c>
    </row>
    <row r="342" spans="1:5" x14ac:dyDescent="0.2">
      <c r="A342" s="1">
        <v>681.00391391391395</v>
      </c>
      <c r="B342" s="1">
        <v>16078.797148556599</v>
      </c>
      <c r="C342" s="1"/>
      <c r="D342" s="1"/>
      <c r="E342" s="1" t="b">
        <f>tblTNFa[[#This Row],[NetMFI]]&gt;B341</f>
        <v>1</v>
      </c>
    </row>
    <row r="343" spans="1:5" x14ac:dyDescent="0.2">
      <c r="A343" s="1">
        <v>683.00542542542598</v>
      </c>
      <c r="B343" s="1">
        <v>16083.9157032413</v>
      </c>
      <c r="C343" s="1"/>
      <c r="D343" s="1"/>
      <c r="E343" s="1" t="b">
        <f>tblTNFa[[#This Row],[NetMFI]]&gt;B342</f>
        <v>1</v>
      </c>
    </row>
    <row r="344" spans="1:5" x14ac:dyDescent="0.2">
      <c r="A344" s="1">
        <v>685.006936936937</v>
      </c>
      <c r="B344" s="1">
        <v>16089.0005472995</v>
      </c>
      <c r="C344" s="1"/>
      <c r="D344" s="1"/>
      <c r="E344" s="1" t="b">
        <f>tblTNFa[[#This Row],[NetMFI]]&gt;B343</f>
        <v>1</v>
      </c>
    </row>
    <row r="345" spans="1:5" x14ac:dyDescent="0.2">
      <c r="A345" s="1">
        <v>687.00844844844801</v>
      </c>
      <c r="B345" s="1">
        <v>16094.051987543</v>
      </c>
      <c r="C345" s="1"/>
      <c r="D345" s="1"/>
      <c r="E345" s="1" t="b">
        <f>tblTNFa[[#This Row],[NetMFI]]&gt;B344</f>
        <v>1</v>
      </c>
    </row>
    <row r="346" spans="1:5" x14ac:dyDescent="0.2">
      <c r="A346" s="1">
        <v>689.00995995996004</v>
      </c>
      <c r="B346" s="1">
        <v>16099.0703272421</v>
      </c>
      <c r="C346" s="1"/>
      <c r="D346" s="1"/>
      <c r="E346" s="1" t="b">
        <f>tblTNFa[[#This Row],[NetMFI]]&gt;B345</f>
        <v>1</v>
      </c>
    </row>
    <row r="347" spans="1:5" x14ac:dyDescent="0.2">
      <c r="A347" s="1">
        <v>691.01147147147196</v>
      </c>
      <c r="B347" s="1">
        <v>16104.0558661752</v>
      </c>
      <c r="C347" s="1"/>
      <c r="D347" s="1"/>
      <c r="E347" s="1" t="b">
        <f>tblTNFa[[#This Row],[NetMFI]]&gt;B346</f>
        <v>1</v>
      </c>
    </row>
    <row r="348" spans="1:5" x14ac:dyDescent="0.2">
      <c r="A348" s="1">
        <v>693.01298298298298</v>
      </c>
      <c r="B348" s="1">
        <v>16109.0089006771</v>
      </c>
      <c r="C348" s="1"/>
      <c r="D348" s="1"/>
      <c r="E348" s="1" t="b">
        <f>tblTNFa[[#This Row],[NetMFI]]&gt;B347</f>
        <v>1</v>
      </c>
    </row>
    <row r="349" spans="1:5" x14ac:dyDescent="0.2">
      <c r="A349" s="1">
        <v>695.01449449449501</v>
      </c>
      <c r="B349" s="1">
        <v>16113.929723686701</v>
      </c>
      <c r="C349" s="1"/>
      <c r="D349" s="1"/>
      <c r="E349" s="1" t="b">
        <f>tblTNFa[[#This Row],[NetMFI]]&gt;B348</f>
        <v>1</v>
      </c>
    </row>
    <row r="350" spans="1:5" x14ac:dyDescent="0.2">
      <c r="A350" s="1">
        <v>697.01600600600602</v>
      </c>
      <c r="B350" s="1">
        <v>16118.818624793699</v>
      </c>
      <c r="C350" s="1"/>
      <c r="D350" s="1"/>
      <c r="E350" s="1" t="b">
        <f>tblTNFa[[#This Row],[NetMFI]]&gt;B349</f>
        <v>1</v>
      </c>
    </row>
    <row r="351" spans="1:5" x14ac:dyDescent="0.2">
      <c r="A351" s="1">
        <v>699.01751751751794</v>
      </c>
      <c r="B351" s="1">
        <v>16123.6758902852</v>
      </c>
      <c r="C351" s="1"/>
      <c r="D351" s="1"/>
      <c r="E351" s="1" t="b">
        <f>tblTNFa[[#This Row],[NetMFI]]&gt;B350</f>
        <v>1</v>
      </c>
    </row>
    <row r="352" spans="1:5" x14ac:dyDescent="0.2">
      <c r="A352" s="1">
        <v>701.01902902902896</v>
      </c>
      <c r="B352" s="1">
        <v>16128.5018031907</v>
      </c>
      <c r="C352" s="1"/>
      <c r="D352" s="1"/>
      <c r="E352" s="1" t="b">
        <f>tblTNFa[[#This Row],[NetMFI]]&gt;B351</f>
        <v>1</v>
      </c>
    </row>
    <row r="353" spans="1:5" x14ac:dyDescent="0.2">
      <c r="A353" s="1">
        <v>703.02054054054099</v>
      </c>
      <c r="B353" s="1">
        <v>16133.296643326799</v>
      </c>
      <c r="C353" s="1"/>
      <c r="D353" s="1"/>
      <c r="E353" s="1" t="b">
        <f>tblTNFa[[#This Row],[NetMFI]]&gt;B352</f>
        <v>1</v>
      </c>
    </row>
    <row r="354" spans="1:5" x14ac:dyDescent="0.2">
      <c r="A354" s="1">
        <v>705.022052052052</v>
      </c>
      <c r="B354" s="1">
        <v>16138.0606873416</v>
      </c>
      <c r="C354" s="1"/>
      <c r="D354" s="1"/>
      <c r="E354" s="1" t="b">
        <f>tblTNFa[[#This Row],[NetMFI]]&gt;B353</f>
        <v>1</v>
      </c>
    </row>
    <row r="355" spans="1:5" x14ac:dyDescent="0.2">
      <c r="A355" s="1">
        <v>707.02356356356404</v>
      </c>
      <c r="B355" s="1">
        <v>16142.794208757399</v>
      </c>
      <c r="C355" s="1"/>
      <c r="D355" s="1"/>
      <c r="E355" s="1" t="b">
        <f>tblTNFa[[#This Row],[NetMFI]]&gt;B354</f>
        <v>1</v>
      </c>
    </row>
    <row r="356" spans="1:5" x14ac:dyDescent="0.2">
      <c r="A356" s="1">
        <v>709.02507507507505</v>
      </c>
      <c r="B356" s="1">
        <v>16147.4974780136</v>
      </c>
      <c r="C356" s="1"/>
      <c r="D356" s="1"/>
      <c r="E356" s="1" t="b">
        <f>tblTNFa[[#This Row],[NetMFI]]&gt;B355</f>
        <v>1</v>
      </c>
    </row>
    <row r="357" spans="1:5" x14ac:dyDescent="0.2">
      <c r="A357" s="1">
        <v>711.02658658658697</v>
      </c>
      <c r="B357" s="1">
        <v>16152.1707625086</v>
      </c>
      <c r="C357" s="1"/>
      <c r="D357" s="1"/>
      <c r="E357" s="1" t="b">
        <f>tblTNFa[[#This Row],[NetMFI]]&gt;B356</f>
        <v>1</v>
      </c>
    </row>
    <row r="358" spans="1:5" x14ac:dyDescent="0.2">
      <c r="A358" s="1">
        <v>713.02809809809798</v>
      </c>
      <c r="B358" s="1">
        <v>16156.814326641001</v>
      </c>
      <c r="C358" s="1"/>
      <c r="D358" s="1"/>
      <c r="E358" s="1" t="b">
        <f>tblTNFa[[#This Row],[NetMFI]]&gt;B357</f>
        <v>1</v>
      </c>
    </row>
    <row r="359" spans="1:5" x14ac:dyDescent="0.2">
      <c r="A359" s="1">
        <v>715.02960960961002</v>
      </c>
      <c r="B359" s="1">
        <v>16161.428431849999</v>
      </c>
      <c r="C359" s="1"/>
      <c r="D359" s="1"/>
      <c r="E359" s="1" t="b">
        <f>tblTNFa[[#This Row],[NetMFI]]&gt;B358</f>
        <v>1</v>
      </c>
    </row>
    <row r="360" spans="1:5" x14ac:dyDescent="0.2">
      <c r="A360" s="1">
        <v>717.03112112112103</v>
      </c>
      <c r="B360" s="1">
        <v>16166.0133366557</v>
      </c>
      <c r="C360" s="1"/>
      <c r="D360" s="1"/>
      <c r="E360" s="1" t="b">
        <f>tblTNFa[[#This Row],[NetMFI]]&gt;B359</f>
        <v>1</v>
      </c>
    </row>
    <row r="361" spans="1:5" x14ac:dyDescent="0.2">
      <c r="A361" s="1">
        <v>719.03263263263295</v>
      </c>
      <c r="B361" s="1">
        <v>16170.569296698201</v>
      </c>
      <c r="C361" s="1"/>
      <c r="D361" s="1"/>
      <c r="E361" s="1" t="b">
        <f>tblTNFa[[#This Row],[NetMFI]]&gt;B360</f>
        <v>1</v>
      </c>
    </row>
    <row r="362" spans="1:5" x14ac:dyDescent="0.2">
      <c r="A362" s="1">
        <v>721.03414414414397</v>
      </c>
      <c r="B362" s="1">
        <v>16175.0965647762</v>
      </c>
      <c r="C362" s="1"/>
      <c r="D362" s="1"/>
      <c r="E362" s="1" t="b">
        <f>tblTNFa[[#This Row],[NetMFI]]&gt;B361</f>
        <v>1</v>
      </c>
    </row>
    <row r="363" spans="1:5" x14ac:dyDescent="0.2">
      <c r="A363" s="1">
        <v>723.035655655656</v>
      </c>
      <c r="B363" s="1">
        <v>16179.595390885401</v>
      </c>
      <c r="C363" s="1"/>
      <c r="D363" s="1"/>
      <c r="E363" s="1" t="b">
        <f>tblTNFa[[#This Row],[NetMFI]]&gt;B362</f>
        <v>1</v>
      </c>
    </row>
    <row r="364" spans="1:5" x14ac:dyDescent="0.2">
      <c r="A364" s="1">
        <v>725.03716716716701</v>
      </c>
      <c r="B364" s="1">
        <v>16184.0660222557</v>
      </c>
      <c r="C364" s="1"/>
      <c r="D364" s="1"/>
      <c r="E364" s="1" t="b">
        <f>tblTNFa[[#This Row],[NetMFI]]&gt;B363</f>
        <v>1</v>
      </c>
    </row>
    <row r="365" spans="1:5" x14ac:dyDescent="0.2">
      <c r="A365" s="1">
        <v>727.03867867867905</v>
      </c>
      <c r="B365" s="1">
        <v>16188.508703388199</v>
      </c>
      <c r="C365" s="1"/>
      <c r="D365" s="1"/>
      <c r="E365" s="1" t="b">
        <f>tblTNFa[[#This Row],[NetMFI]]&gt;B364</f>
        <v>1</v>
      </c>
    </row>
    <row r="366" spans="1:5" x14ac:dyDescent="0.2">
      <c r="A366" s="1">
        <v>729.04019019018995</v>
      </c>
      <c r="B366" s="1">
        <v>16192.923676091899</v>
      </c>
      <c r="C366" s="1"/>
      <c r="D366" s="1"/>
      <c r="E366" s="1" t="b">
        <f>tblTNFa[[#This Row],[NetMFI]]&gt;B365</f>
        <v>1</v>
      </c>
    </row>
    <row r="367" spans="1:5" x14ac:dyDescent="0.2">
      <c r="A367" s="1">
        <v>731.04170170170198</v>
      </c>
      <c r="B367" s="1">
        <v>16197.3111795187</v>
      </c>
      <c r="C367" s="1"/>
      <c r="D367" s="1"/>
      <c r="E367" s="1" t="b">
        <f>tblTNFa[[#This Row],[NetMFI]]&gt;B366</f>
        <v>1</v>
      </c>
    </row>
    <row r="368" spans="1:5" x14ac:dyDescent="0.2">
      <c r="A368" s="1">
        <v>733.04321321321299</v>
      </c>
      <c r="B368" s="1">
        <v>16201.671450199499</v>
      </c>
      <c r="C368" s="1"/>
      <c r="D368" s="1"/>
      <c r="E368" s="1" t="b">
        <f>tblTNFa[[#This Row],[NetMFI]]&gt;B367</f>
        <v>1</v>
      </c>
    </row>
    <row r="369" spans="1:5" x14ac:dyDescent="0.2">
      <c r="A369" s="1">
        <v>735.04472472472503</v>
      </c>
      <c r="B369" s="1">
        <v>16206.0047220781</v>
      </c>
      <c r="C369" s="1"/>
      <c r="D369" s="1"/>
      <c r="E369" s="1" t="b">
        <f>tblTNFa[[#This Row],[NetMFI]]&gt;B368</f>
        <v>1</v>
      </c>
    </row>
    <row r="370" spans="1:5" x14ac:dyDescent="0.2">
      <c r="A370" s="1">
        <v>737.04623623623604</v>
      </c>
      <c r="B370" s="1">
        <v>16210.311226546</v>
      </c>
      <c r="C370" s="1"/>
      <c r="D370" s="1"/>
      <c r="E370" s="1" t="b">
        <f>tblTNFa[[#This Row],[NetMFI]]&gt;B369</f>
        <v>1</v>
      </c>
    </row>
    <row r="371" spans="1:5" x14ac:dyDescent="0.2">
      <c r="A371" s="1">
        <v>739.04774774774796</v>
      </c>
      <c r="B371" s="1">
        <v>16214.5911924754</v>
      </c>
      <c r="C371" s="1"/>
      <c r="D371" s="1"/>
      <c r="E371" s="1" t="b">
        <f>tblTNFa[[#This Row],[NetMFI]]&gt;B370</f>
        <v>1</v>
      </c>
    </row>
    <row r="372" spans="1:5" x14ac:dyDescent="0.2">
      <c r="A372" s="1">
        <v>741.04925925925897</v>
      </c>
      <c r="B372" s="1">
        <v>16218.8448462529</v>
      </c>
      <c r="C372" s="1"/>
      <c r="D372" s="1"/>
      <c r="E372" s="1" t="b">
        <f>tblTNFa[[#This Row],[NetMFI]]&gt;B371</f>
        <v>1</v>
      </c>
    </row>
    <row r="373" spans="1:5" x14ac:dyDescent="0.2">
      <c r="A373" s="1">
        <v>743.05077077077101</v>
      </c>
      <c r="B373" s="1">
        <v>16223.0724118116</v>
      </c>
      <c r="C373" s="1"/>
      <c r="D373" s="1"/>
      <c r="E373" s="1" t="b">
        <f>tblTNFa[[#This Row],[NetMFI]]&gt;B372</f>
        <v>1</v>
      </c>
    </row>
    <row r="374" spans="1:5" x14ac:dyDescent="0.2">
      <c r="A374" s="1">
        <v>745.05228228228202</v>
      </c>
      <c r="B374" s="1">
        <v>16227.2741106636</v>
      </c>
      <c r="C374" s="1"/>
      <c r="D374" s="1"/>
      <c r="E374" s="1" t="b">
        <f>tblTNFa[[#This Row],[NetMFI]]&gt;B373</f>
        <v>1</v>
      </c>
    </row>
    <row r="375" spans="1:5" x14ac:dyDescent="0.2">
      <c r="A375" s="1">
        <v>747.05379379379394</v>
      </c>
      <c r="B375" s="1">
        <v>16231.4501619312</v>
      </c>
      <c r="C375" s="1"/>
      <c r="D375" s="1"/>
      <c r="E375" s="1" t="b">
        <f>tblTNFa[[#This Row],[NetMFI]]&gt;B374</f>
        <v>1</v>
      </c>
    </row>
    <row r="376" spans="1:5" x14ac:dyDescent="0.2">
      <c r="A376" s="1">
        <v>749.05530530530496</v>
      </c>
      <c r="B376" s="1">
        <v>16235.6007823783</v>
      </c>
      <c r="C376" s="1"/>
      <c r="D376" s="1"/>
      <c r="E376" s="1" t="b">
        <f>tblTNFa[[#This Row],[NetMFI]]&gt;B375</f>
        <v>1</v>
      </c>
    </row>
    <row r="377" spans="1:5" x14ac:dyDescent="0.2">
      <c r="A377" s="1">
        <v>751.05681681681699</v>
      </c>
      <c r="B377" s="1">
        <v>16239.726186441099</v>
      </c>
      <c r="C377" s="1"/>
      <c r="D377" s="1"/>
      <c r="E377" s="1" t="b">
        <f>tblTNFa[[#This Row],[NetMFI]]&gt;B376</f>
        <v>1</v>
      </c>
    </row>
    <row r="378" spans="1:5" x14ac:dyDescent="0.2">
      <c r="A378" s="1">
        <v>753.058328328328</v>
      </c>
      <c r="B378" s="1">
        <v>16243.826586257799</v>
      </c>
      <c r="C378" s="1"/>
      <c r="D378" s="1"/>
      <c r="E378" s="1" t="b">
        <f>tblTNFa[[#This Row],[NetMFI]]&gt;B377</f>
        <v>1</v>
      </c>
    </row>
    <row r="379" spans="1:5" x14ac:dyDescent="0.2">
      <c r="A379" s="1">
        <v>755.05983983984004</v>
      </c>
      <c r="B379" s="1">
        <v>16247.902191699101</v>
      </c>
      <c r="C379" s="1"/>
      <c r="D379" s="1"/>
      <c r="E379" s="1" t="b">
        <f>tblTNFa[[#This Row],[NetMFI]]&gt;B378</f>
        <v>1</v>
      </c>
    </row>
    <row r="380" spans="1:5" x14ac:dyDescent="0.2">
      <c r="A380" s="1">
        <v>757.06135135135105</v>
      </c>
      <c r="B380" s="1">
        <v>16251.953210396799</v>
      </c>
      <c r="C380" s="1"/>
      <c r="D380" s="1"/>
      <c r="E380" s="1" t="b">
        <f>tblTNFa[[#This Row],[NetMFI]]&gt;B379</f>
        <v>1</v>
      </c>
    </row>
    <row r="381" spans="1:5" x14ac:dyDescent="0.2">
      <c r="A381" s="1">
        <v>759.06286286286297</v>
      </c>
      <c r="B381" s="1">
        <v>16255.979847773</v>
      </c>
      <c r="C381" s="1"/>
      <c r="D381" s="1"/>
      <c r="E381" s="1" t="b">
        <f>tblTNFa[[#This Row],[NetMFI]]&gt;B380</f>
        <v>1</v>
      </c>
    </row>
    <row r="382" spans="1:5" x14ac:dyDescent="0.2">
      <c r="A382" s="1">
        <v>761.06437437437398</v>
      </c>
      <c r="B382" s="1">
        <v>16259.9823070684</v>
      </c>
      <c r="C382" s="1"/>
      <c r="D382" s="1"/>
      <c r="E382" s="1" t="b">
        <f>tblTNFa[[#This Row],[NetMFI]]&gt;B381</f>
        <v>1</v>
      </c>
    </row>
    <row r="383" spans="1:5" x14ac:dyDescent="0.2">
      <c r="A383" s="1">
        <v>763.06588588588602</v>
      </c>
      <c r="B383" s="1">
        <v>16263.9607893703</v>
      </c>
      <c r="C383" s="1"/>
      <c r="D383" s="1"/>
      <c r="E383" s="1" t="b">
        <f>tblTNFa[[#This Row],[NetMFI]]&gt;B382</f>
        <v>1</v>
      </c>
    </row>
    <row r="384" spans="1:5" x14ac:dyDescent="0.2">
      <c r="A384" s="1">
        <v>765.06739739739703</v>
      </c>
      <c r="B384" s="1">
        <v>16267.915493639999</v>
      </c>
      <c r="C384" s="1"/>
      <c r="D384" s="1"/>
      <c r="E384" s="1" t="b">
        <f>tblTNFa[[#This Row],[NetMFI]]&gt;B383</f>
        <v>1</v>
      </c>
    </row>
    <row r="385" spans="1:5" x14ac:dyDescent="0.2">
      <c r="A385" s="1">
        <v>767.06890890890895</v>
      </c>
      <c r="B385" s="1">
        <v>16271.8466167403</v>
      </c>
      <c r="C385" s="1"/>
      <c r="D385" s="1"/>
      <c r="E385" s="1" t="b">
        <f>tblTNFa[[#This Row],[NetMFI]]&gt;B384</f>
        <v>1</v>
      </c>
    </row>
    <row r="386" spans="1:5" x14ac:dyDescent="0.2">
      <c r="A386" s="1">
        <v>769.07042042042099</v>
      </c>
      <c r="B386" s="1">
        <v>16275.7543534619</v>
      </c>
      <c r="C386" s="1"/>
      <c r="D386" s="1"/>
      <c r="E386" s="1" t="b">
        <f>tblTNFa[[#This Row],[NetMFI]]&gt;B385</f>
        <v>1</v>
      </c>
    </row>
    <row r="387" spans="1:5" x14ac:dyDescent="0.2">
      <c r="A387" s="1">
        <v>771.071931931932</v>
      </c>
      <c r="B387" s="1">
        <v>16279.638896549801</v>
      </c>
      <c r="C387" s="1"/>
      <c r="D387" s="1"/>
      <c r="E387" s="1" t="b">
        <f>tblTNFa[[#This Row],[NetMFI]]&gt;B386</f>
        <v>1</v>
      </c>
    </row>
    <row r="388" spans="1:5" x14ac:dyDescent="0.2">
      <c r="A388" s="1">
        <v>773.07344344344301</v>
      </c>
      <c r="B388" s="1">
        <v>16283.500436729601</v>
      </c>
      <c r="C388" s="1"/>
      <c r="D388" s="1"/>
      <c r="E388" s="1" t="b">
        <f>tblTNFa[[#This Row],[NetMFI]]&gt;B387</f>
        <v>1</v>
      </c>
    </row>
    <row r="389" spans="1:5" x14ac:dyDescent="0.2">
      <c r="A389" s="1">
        <v>775.07495495495505</v>
      </c>
      <c r="B389" s="1">
        <v>16287.3391627325</v>
      </c>
      <c r="C389" s="1"/>
      <c r="D389" s="1"/>
      <c r="E389" s="1" t="b">
        <f>tblTNFa[[#This Row],[NetMFI]]&gt;B388</f>
        <v>1</v>
      </c>
    </row>
    <row r="390" spans="1:5" x14ac:dyDescent="0.2">
      <c r="A390" s="1">
        <v>777.07646646646697</v>
      </c>
      <c r="B390" s="1">
        <v>16291.155261321001</v>
      </c>
      <c r="C390" s="1"/>
      <c r="D390" s="1"/>
      <c r="E390" s="1" t="b">
        <f>tblTNFa[[#This Row],[NetMFI]]&gt;B389</f>
        <v>1</v>
      </c>
    </row>
    <row r="391" spans="1:5" x14ac:dyDescent="0.2">
      <c r="A391" s="1">
        <v>779.07797797797798</v>
      </c>
      <c r="B391" s="1">
        <v>16294.948917313401</v>
      </c>
      <c r="C391" s="1"/>
      <c r="D391" s="1"/>
      <c r="E391" s="1" t="b">
        <f>tblTNFa[[#This Row],[NetMFI]]&gt;B390</f>
        <v>1</v>
      </c>
    </row>
    <row r="392" spans="1:5" x14ac:dyDescent="0.2">
      <c r="A392" s="1">
        <v>781.07948948949002</v>
      </c>
      <c r="B392" s="1">
        <v>16298.720313608301</v>
      </c>
      <c r="C392" s="1"/>
      <c r="D392" s="1"/>
      <c r="E392" s="1" t="b">
        <f>tblTNFa[[#This Row],[NetMFI]]&gt;B391</f>
        <v>1</v>
      </c>
    </row>
    <row r="393" spans="1:5" x14ac:dyDescent="0.2">
      <c r="A393" s="1">
        <v>783.08100100100103</v>
      </c>
      <c r="B393" s="1">
        <v>16302.469631209</v>
      </c>
      <c r="C393" s="1"/>
      <c r="D393" s="1"/>
      <c r="E393" s="1" t="b">
        <f>tblTNFa[[#This Row],[NetMFI]]&gt;B392</f>
        <v>1</v>
      </c>
    </row>
    <row r="394" spans="1:5" x14ac:dyDescent="0.2">
      <c r="A394" s="1">
        <v>785.08251251251295</v>
      </c>
      <c r="B394" s="1">
        <v>16306.197049246701</v>
      </c>
      <c r="C394" s="1"/>
      <c r="D394" s="1"/>
      <c r="E394" s="1" t="b">
        <f>tblTNFa[[#This Row],[NetMFI]]&gt;B393</f>
        <v>1</v>
      </c>
    </row>
    <row r="395" spans="1:5" x14ac:dyDescent="0.2">
      <c r="A395" s="1">
        <v>787.08402402402396</v>
      </c>
      <c r="B395" s="1">
        <v>16309.9027450043</v>
      </c>
      <c r="C395" s="1"/>
      <c r="D395" s="1"/>
      <c r="E395" s="1" t="b">
        <f>tblTNFa[[#This Row],[NetMFI]]&gt;B394</f>
        <v>1</v>
      </c>
    </row>
    <row r="396" spans="1:5" x14ac:dyDescent="0.2">
      <c r="A396" s="1">
        <v>789.085535535536</v>
      </c>
      <c r="B396" s="1">
        <v>16313.5868939395</v>
      </c>
      <c r="C396" s="1"/>
      <c r="D396" s="1"/>
      <c r="E396" s="1" t="b">
        <f>tblTNFa[[#This Row],[NetMFI]]&gt;B395</f>
        <v>1</v>
      </c>
    </row>
    <row r="397" spans="1:5" x14ac:dyDescent="0.2">
      <c r="A397" s="1">
        <v>791.08704704704701</v>
      </c>
      <c r="B397" s="1">
        <v>16317.2496697072</v>
      </c>
      <c r="C397" s="1"/>
      <c r="D397" s="1"/>
      <c r="E397" s="1" t="b">
        <f>tblTNFa[[#This Row],[NetMFI]]&gt;B396</f>
        <v>1</v>
      </c>
    </row>
    <row r="398" spans="1:5" x14ac:dyDescent="0.2">
      <c r="A398" s="1">
        <v>793.08855855855904</v>
      </c>
      <c r="B398" s="1">
        <v>16320.891244181899</v>
      </c>
      <c r="C398" s="1"/>
      <c r="D398" s="1"/>
      <c r="E398" s="1" t="b">
        <f>tblTNFa[[#This Row],[NetMFI]]&gt;B397</f>
        <v>1</v>
      </c>
    </row>
    <row r="399" spans="1:5" x14ac:dyDescent="0.2">
      <c r="A399" s="1">
        <v>795.09007007007006</v>
      </c>
      <c r="B399" s="1">
        <v>16324.5117874803</v>
      </c>
      <c r="C399" s="1"/>
      <c r="D399" s="1"/>
      <c r="E399" s="1" t="b">
        <f>tblTNFa[[#This Row],[NetMFI]]&gt;B398</f>
        <v>1</v>
      </c>
    </row>
    <row r="400" spans="1:5" x14ac:dyDescent="0.2">
      <c r="A400" s="1">
        <v>797.09158158158198</v>
      </c>
      <c r="B400" s="1">
        <v>16328.1114679823</v>
      </c>
      <c r="C400" s="1"/>
      <c r="D400" s="1"/>
      <c r="E400" s="1" t="b">
        <f>tblTNFa[[#This Row],[NetMFI]]&gt;B399</f>
        <v>1</v>
      </c>
    </row>
    <row r="401" spans="1:5" x14ac:dyDescent="0.2">
      <c r="A401" s="1">
        <v>799.09309309309299</v>
      </c>
      <c r="B401" s="1">
        <v>16331.690452352999</v>
      </c>
      <c r="C401" s="1"/>
      <c r="D401" s="1"/>
      <c r="E401" s="1" t="b">
        <f>tblTNFa[[#This Row],[NetMFI]]&gt;B400</f>
        <v>1</v>
      </c>
    </row>
    <row r="402" spans="1:5" x14ac:dyDescent="0.2">
      <c r="A402" s="1">
        <v>801.09460460460502</v>
      </c>
      <c r="B402" s="1">
        <v>16335.2489055634</v>
      </c>
      <c r="C402" s="1"/>
      <c r="D402" s="1"/>
      <c r="E402" s="1" t="b">
        <f>tblTNFa[[#This Row],[NetMFI]]&gt;B401</f>
        <v>1</v>
      </c>
    </row>
    <row r="403" spans="1:5" x14ac:dyDescent="0.2">
      <c r="A403" s="1">
        <v>803.09611611611604</v>
      </c>
      <c r="B403" s="1">
        <v>16338.7869909115</v>
      </c>
      <c r="C403" s="1"/>
      <c r="D403" s="1"/>
      <c r="E403" s="1" t="b">
        <f>tblTNFa[[#This Row],[NetMFI]]&gt;B402</f>
        <v>1</v>
      </c>
    </row>
    <row r="404" spans="1:5" x14ac:dyDescent="0.2">
      <c r="A404" s="1">
        <v>805.09762762762796</v>
      </c>
      <c r="B404" s="1">
        <v>16342.304870042801</v>
      </c>
      <c r="C404" s="1"/>
      <c r="D404" s="1"/>
      <c r="E404" s="1" t="b">
        <f>tblTNFa[[#This Row],[NetMFI]]&gt;B403</f>
        <v>1</v>
      </c>
    </row>
    <row r="405" spans="1:5" x14ac:dyDescent="0.2">
      <c r="A405" s="1">
        <v>807.09913913913897</v>
      </c>
      <c r="B405" s="1">
        <v>16345.802702970301</v>
      </c>
      <c r="C405" s="1"/>
      <c r="D405" s="1"/>
      <c r="E405" s="1" t="b">
        <f>tblTNFa[[#This Row],[NetMFI]]&gt;B404</f>
        <v>1</v>
      </c>
    </row>
    <row r="406" spans="1:5" x14ac:dyDescent="0.2">
      <c r="A406" s="1">
        <v>809.100650650651</v>
      </c>
      <c r="B406" s="1">
        <v>16349.2806480947</v>
      </c>
      <c r="C406" s="1"/>
      <c r="D406" s="1"/>
      <c r="E406" s="1" t="b">
        <f>tblTNFa[[#This Row],[NetMFI]]&gt;B405</f>
        <v>1</v>
      </c>
    </row>
    <row r="407" spans="1:5" x14ac:dyDescent="0.2">
      <c r="A407" s="1">
        <v>811.10216216216202</v>
      </c>
      <c r="B407" s="1">
        <v>16352.7388622239</v>
      </c>
      <c r="C407" s="1"/>
      <c r="D407" s="1"/>
      <c r="E407" s="1" t="b">
        <f>tblTNFa[[#This Row],[NetMFI]]&gt;B406</f>
        <v>1</v>
      </c>
    </row>
    <row r="408" spans="1:5" x14ac:dyDescent="0.2">
      <c r="A408" s="1">
        <v>813.10367367367405</v>
      </c>
      <c r="B408" s="1">
        <v>16356.177500592399</v>
      </c>
      <c r="C408" s="1"/>
      <c r="D408" s="1"/>
      <c r="E408" s="1" t="b">
        <f>tblTNFa[[#This Row],[NetMFI]]&gt;B407</f>
        <v>1</v>
      </c>
    </row>
    <row r="409" spans="1:5" x14ac:dyDescent="0.2">
      <c r="A409" s="1">
        <v>815.10518518518495</v>
      </c>
      <c r="B409" s="1">
        <v>16359.5967168803</v>
      </c>
      <c r="C409" s="1"/>
      <c r="D409" s="1"/>
      <c r="E409" s="1" t="b">
        <f>tblTNFa[[#This Row],[NetMFI]]&gt;B408</f>
        <v>1</v>
      </c>
    </row>
    <row r="410" spans="1:5" x14ac:dyDescent="0.2">
      <c r="A410" s="1">
        <v>817.10669669669699</v>
      </c>
      <c r="B410" s="1">
        <v>16362.996663232299</v>
      </c>
      <c r="C410" s="1"/>
      <c r="D410" s="1"/>
      <c r="E410" s="1" t="b">
        <f>tblTNFa[[#This Row],[NetMFI]]&gt;B409</f>
        <v>1</v>
      </c>
    </row>
    <row r="411" spans="1:5" x14ac:dyDescent="0.2">
      <c r="A411" s="1">
        <v>819.108208208208</v>
      </c>
      <c r="B411" s="1">
        <v>16366.3774902762</v>
      </c>
      <c r="C411" s="1"/>
      <c r="D411" s="1"/>
      <c r="E411" s="1" t="b">
        <f>tblTNFa[[#This Row],[NetMFI]]&gt;B410</f>
        <v>1</v>
      </c>
    </row>
    <row r="412" spans="1:5" x14ac:dyDescent="0.2">
      <c r="A412" s="1">
        <v>821.10971971972003</v>
      </c>
      <c r="B412" s="1">
        <v>16369.739347141</v>
      </c>
      <c r="C412" s="1"/>
      <c r="D412" s="1"/>
      <c r="E412" s="1" t="b">
        <f>tblTNFa[[#This Row],[NetMFI]]&gt;B411</f>
        <v>1</v>
      </c>
    </row>
    <row r="413" spans="1:5" x14ac:dyDescent="0.2">
      <c r="A413" s="1">
        <v>823.11123123123105</v>
      </c>
      <c r="B413" s="1">
        <v>16373.0823814752</v>
      </c>
      <c r="C413" s="1"/>
      <c r="D413" s="1"/>
      <c r="E413" s="1" t="b">
        <f>tblTNFa[[#This Row],[NetMFI]]&gt;B412</f>
        <v>1</v>
      </c>
    </row>
    <row r="414" spans="1:5" x14ac:dyDescent="0.2">
      <c r="A414" s="1">
        <v>825.11274274274297</v>
      </c>
      <c r="B414" s="1">
        <v>16376.406739464701</v>
      </c>
      <c r="C414" s="1"/>
      <c r="D414" s="1"/>
      <c r="E414" s="1" t="b">
        <f>tblTNFa[[#This Row],[NetMFI]]&gt;B413</f>
        <v>1</v>
      </c>
    </row>
    <row r="415" spans="1:5" x14ac:dyDescent="0.2">
      <c r="A415" s="1">
        <v>827.11425425425398</v>
      </c>
      <c r="B415" s="1">
        <v>16379.712565849601</v>
      </c>
      <c r="C415" s="1"/>
      <c r="D415" s="1"/>
      <c r="E415" s="1" t="b">
        <f>tblTNFa[[#This Row],[NetMFI]]&gt;B414</f>
        <v>1</v>
      </c>
    </row>
    <row r="416" spans="1:5" x14ac:dyDescent="0.2">
      <c r="A416" s="1">
        <v>829.11576576576601</v>
      </c>
      <c r="B416" s="1">
        <v>16383.000003942399</v>
      </c>
      <c r="C416" s="1"/>
      <c r="D416" s="1"/>
      <c r="E416" s="1" t="b">
        <f>tblTNFa[[#This Row],[NetMFI]]&gt;B415</f>
        <v>1</v>
      </c>
    </row>
    <row r="417" spans="1:5" x14ac:dyDescent="0.2">
      <c r="A417" s="1">
        <v>831.11727727727703</v>
      </c>
      <c r="B417" s="1">
        <v>16386.2691956446</v>
      </c>
      <c r="C417" s="1"/>
      <c r="D417" s="1"/>
      <c r="E417" s="1" t="b">
        <f>tblTNFa[[#This Row],[NetMFI]]&gt;B416</f>
        <v>1</v>
      </c>
    </row>
    <row r="418" spans="1:5" x14ac:dyDescent="0.2">
      <c r="A418" s="1">
        <v>833.11878878878895</v>
      </c>
      <c r="B418" s="1">
        <v>16389.520281463301</v>
      </c>
      <c r="C418" s="1"/>
      <c r="D418" s="1"/>
      <c r="E418" s="1" t="b">
        <f>tblTNFa[[#This Row],[NetMFI]]&gt;B417</f>
        <v>1</v>
      </c>
    </row>
    <row r="419" spans="1:5" x14ac:dyDescent="0.2">
      <c r="A419" s="1">
        <v>835.12030030029996</v>
      </c>
      <c r="B419" s="1">
        <v>16392.7534005284</v>
      </c>
      <c r="C419" s="1"/>
      <c r="D419" s="1"/>
      <c r="E419" s="1" t="b">
        <f>tblTNFa[[#This Row],[NetMFI]]&gt;B418</f>
        <v>1</v>
      </c>
    </row>
    <row r="420" spans="1:5" x14ac:dyDescent="0.2">
      <c r="A420" s="1">
        <v>837.12181181181199</v>
      </c>
      <c r="B420" s="1">
        <v>16395.968690608101</v>
      </c>
      <c r="C420" s="1"/>
      <c r="D420" s="1"/>
      <c r="E420" s="1" t="b">
        <f>tblTNFa[[#This Row],[NetMFI]]&gt;B419</f>
        <v>1</v>
      </c>
    </row>
    <row r="421" spans="1:5" x14ac:dyDescent="0.2">
      <c r="A421" s="1">
        <v>839.12332332332301</v>
      </c>
      <c r="B421" s="1">
        <v>16399.1662881259</v>
      </c>
      <c r="C421" s="1"/>
      <c r="D421" s="1"/>
      <c r="E421" s="1" t="b">
        <f>tblTNFa[[#This Row],[NetMFI]]&gt;B420</f>
        <v>1</v>
      </c>
    </row>
    <row r="422" spans="1:5" x14ac:dyDescent="0.2">
      <c r="A422" s="1">
        <v>841.12483483483504</v>
      </c>
      <c r="B422" s="1">
        <v>16402.346328175801</v>
      </c>
      <c r="C422" s="1"/>
      <c r="D422" s="1"/>
      <c r="E422" s="1" t="b">
        <f>tblTNFa[[#This Row],[NetMFI]]&gt;B421</f>
        <v>1</v>
      </c>
    </row>
    <row r="423" spans="1:5" x14ac:dyDescent="0.2">
      <c r="A423" s="1">
        <v>843.12634634634605</v>
      </c>
      <c r="B423" s="1">
        <v>16405.508944538298</v>
      </c>
      <c r="C423" s="1"/>
      <c r="D423" s="1"/>
      <c r="E423" s="1" t="b">
        <f>tblTNFa[[#This Row],[NetMFI]]&gt;B422</f>
        <v>1</v>
      </c>
    </row>
    <row r="424" spans="1:5" x14ac:dyDescent="0.2">
      <c r="A424" s="1">
        <v>845.12785785785798</v>
      </c>
      <c r="B424" s="1">
        <v>16408.6542696959</v>
      </c>
      <c r="C424" s="1"/>
      <c r="D424" s="1"/>
      <c r="E424" s="1" t="b">
        <f>tblTNFa[[#This Row],[NetMFI]]&gt;B423</f>
        <v>1</v>
      </c>
    </row>
    <row r="425" spans="1:5" x14ac:dyDescent="0.2">
      <c r="A425" s="1">
        <v>847.12936936936899</v>
      </c>
      <c r="B425" s="1">
        <v>16411.782434848199</v>
      </c>
      <c r="C425" s="1"/>
      <c r="D425" s="1"/>
      <c r="E425" s="1" t="b">
        <f>tblTNFa[[#This Row],[NetMFI]]&gt;B424</f>
        <v>1</v>
      </c>
    </row>
    <row r="426" spans="1:5" x14ac:dyDescent="0.2">
      <c r="A426" s="1">
        <v>849.13088088088102</v>
      </c>
      <c r="B426" s="1">
        <v>16414.893569926899</v>
      </c>
      <c r="C426" s="1"/>
      <c r="D426" s="1"/>
      <c r="E426" s="1" t="b">
        <f>tblTNFa[[#This Row],[NetMFI]]&gt;B425</f>
        <v>1</v>
      </c>
    </row>
    <row r="427" spans="1:5" x14ac:dyDescent="0.2">
      <c r="A427" s="1">
        <v>851.13239239239203</v>
      </c>
      <c r="B427" s="1">
        <v>16417.9878036107</v>
      </c>
      <c r="C427" s="1"/>
      <c r="D427" s="1"/>
      <c r="E427" s="1" t="b">
        <f>tblTNFa[[#This Row],[NetMFI]]&gt;B426</f>
        <v>1</v>
      </c>
    </row>
    <row r="428" spans="1:5" x14ac:dyDescent="0.2">
      <c r="A428" s="1">
        <v>853.13390390390396</v>
      </c>
      <c r="B428" s="1">
        <v>16421.0652633399</v>
      </c>
      <c r="C428" s="1"/>
      <c r="D428" s="1"/>
      <c r="E428" s="1" t="b">
        <f>tblTNFa[[#This Row],[NetMFI]]&gt;B427</f>
        <v>1</v>
      </c>
    </row>
    <row r="429" spans="1:5" x14ac:dyDescent="0.2">
      <c r="A429" s="1">
        <v>855.13541541541497</v>
      </c>
      <c r="B429" s="1">
        <v>16424.1260753311</v>
      </c>
      <c r="C429" s="1"/>
      <c r="D429" s="1"/>
      <c r="E429" s="1" t="b">
        <f>tblTNFa[[#This Row],[NetMFI]]&gt;B428</f>
        <v>1</v>
      </c>
    </row>
    <row r="430" spans="1:5" x14ac:dyDescent="0.2">
      <c r="A430" s="1">
        <v>857.136926926927</v>
      </c>
      <c r="B430" s="1">
        <v>16427.1703645909</v>
      </c>
      <c r="C430" s="1"/>
      <c r="D430" s="1"/>
      <c r="E430" s="1" t="b">
        <f>tblTNFa[[#This Row],[NetMFI]]&gt;B429</f>
        <v>1</v>
      </c>
    </row>
    <row r="431" spans="1:5" x14ac:dyDescent="0.2">
      <c r="A431" s="1">
        <v>859.13843843843802</v>
      </c>
      <c r="B431" s="1">
        <v>16430.198254930299</v>
      </c>
      <c r="C431" s="1"/>
      <c r="D431" s="1"/>
      <c r="E431" s="1" t="b">
        <f>tblTNFa[[#This Row],[NetMFI]]&gt;B430</f>
        <v>1</v>
      </c>
    </row>
    <row r="432" spans="1:5" x14ac:dyDescent="0.2">
      <c r="A432" s="1">
        <v>861.13994994995005</v>
      </c>
      <c r="B432" s="1">
        <v>16433.2098689786</v>
      </c>
      <c r="C432" s="1"/>
      <c r="D432" s="1"/>
      <c r="E432" s="1" t="b">
        <f>tblTNFa[[#This Row],[NetMFI]]&gt;B431</f>
        <v>1</v>
      </c>
    </row>
    <row r="433" spans="1:5" x14ac:dyDescent="0.2">
      <c r="A433" s="1">
        <v>863.14146146146197</v>
      </c>
      <c r="B433" s="1">
        <v>16436.2053281966</v>
      </c>
      <c r="C433" s="1"/>
      <c r="D433" s="1"/>
      <c r="E433" s="1" t="b">
        <f>tblTNFa[[#This Row],[NetMFI]]&gt;B432</f>
        <v>1</v>
      </c>
    </row>
    <row r="434" spans="1:5" x14ac:dyDescent="0.2">
      <c r="A434" s="1">
        <v>865.14297297297298</v>
      </c>
      <c r="B434" s="1">
        <v>16439.1847528908</v>
      </c>
      <c r="C434" s="1"/>
      <c r="D434" s="1"/>
      <c r="E434" s="1" t="b">
        <f>tblTNFa[[#This Row],[NetMFI]]&gt;B433</f>
        <v>1</v>
      </c>
    </row>
    <row r="435" spans="1:5" x14ac:dyDescent="0.2">
      <c r="A435" s="1">
        <v>867.14448448448502</v>
      </c>
      <c r="B435" s="1">
        <v>16442.148262225899</v>
      </c>
      <c r="C435" s="1"/>
      <c r="D435" s="1"/>
      <c r="E435" s="1" t="b">
        <f>tblTNFa[[#This Row],[NetMFI]]&gt;B434</f>
        <v>1</v>
      </c>
    </row>
    <row r="436" spans="1:5" x14ac:dyDescent="0.2">
      <c r="A436" s="1">
        <v>869.14599599599603</v>
      </c>
      <c r="B436" s="1">
        <v>16445.095974238498</v>
      </c>
      <c r="C436" s="1"/>
      <c r="D436" s="1"/>
      <c r="E436" s="1" t="b">
        <f>tblTNFa[[#This Row],[NetMFI]]&gt;B435</f>
        <v>1</v>
      </c>
    </row>
    <row r="437" spans="1:5" x14ac:dyDescent="0.2">
      <c r="A437" s="1">
        <v>871.14750750750795</v>
      </c>
      <c r="B437" s="1">
        <v>16448.028005849799</v>
      </c>
      <c r="C437" s="1"/>
      <c r="D437" s="1"/>
      <c r="E437" s="1" t="b">
        <f>tblTNFa[[#This Row],[NetMFI]]&gt;B436</f>
        <v>1</v>
      </c>
    </row>
    <row r="438" spans="1:5" x14ac:dyDescent="0.2">
      <c r="A438" s="1">
        <v>873.14901901901897</v>
      </c>
      <c r="B438" s="1">
        <v>16450.9444728784</v>
      </c>
      <c r="C438" s="1"/>
      <c r="D438" s="1"/>
      <c r="E438" s="1" t="b">
        <f>tblTNFa[[#This Row],[NetMFI]]&gt;B437</f>
        <v>1</v>
      </c>
    </row>
    <row r="439" spans="1:5" x14ac:dyDescent="0.2">
      <c r="A439" s="1">
        <v>875.150530530531</v>
      </c>
      <c r="B439" s="1">
        <v>16453.8454900529</v>
      </c>
      <c r="C439" s="1"/>
      <c r="D439" s="1"/>
      <c r="E439" s="1" t="b">
        <f>tblTNFa[[#This Row],[NetMFI]]&gt;B438</f>
        <v>1</v>
      </c>
    </row>
    <row r="440" spans="1:5" x14ac:dyDescent="0.2">
      <c r="A440" s="1">
        <v>877.15204204204201</v>
      </c>
      <c r="B440" s="1">
        <v>16456.731171024199</v>
      </c>
      <c r="C440" s="1"/>
      <c r="D440" s="1"/>
      <c r="E440" s="1" t="b">
        <f>tblTNFa[[#This Row],[NetMFI]]&gt;B439</f>
        <v>1</v>
      </c>
    </row>
    <row r="441" spans="1:5" x14ac:dyDescent="0.2">
      <c r="A441" s="1">
        <v>879.15355355355405</v>
      </c>
      <c r="B441" s="1">
        <v>16459.601628377801</v>
      </c>
      <c r="C441" s="1"/>
      <c r="D441" s="1"/>
      <c r="E441" s="1" t="b">
        <f>tblTNFa[[#This Row],[NetMFI]]&gt;B440</f>
        <v>1</v>
      </c>
    </row>
    <row r="442" spans="1:5" x14ac:dyDescent="0.2">
      <c r="A442" s="1">
        <v>881.15506506506495</v>
      </c>
      <c r="B442" s="1">
        <v>16462.456973646302</v>
      </c>
      <c r="C442" s="1"/>
      <c r="D442" s="1"/>
      <c r="E442" s="1" t="b">
        <f>tblTNFa[[#This Row],[NetMFI]]&gt;B441</f>
        <v>1</v>
      </c>
    </row>
    <row r="443" spans="1:5" x14ac:dyDescent="0.2">
      <c r="A443" s="1">
        <v>883.15657657657698</v>
      </c>
      <c r="B443" s="1">
        <v>16465.297317320601</v>
      </c>
      <c r="C443" s="1"/>
      <c r="D443" s="1"/>
      <c r="E443" s="1" t="b">
        <f>tblTNFa[[#This Row],[NetMFI]]&gt;B442</f>
        <v>1</v>
      </c>
    </row>
    <row r="444" spans="1:5" x14ac:dyDescent="0.2">
      <c r="A444" s="1">
        <v>885.15808808808799</v>
      </c>
      <c r="B444" s="1">
        <v>16468.122768862198</v>
      </c>
      <c r="C444" s="1"/>
      <c r="D444" s="1"/>
      <c r="E444" s="1" t="b">
        <f>tblTNFa[[#This Row],[NetMFI]]&gt;B443</f>
        <v>1</v>
      </c>
    </row>
    <row r="445" spans="1:5" x14ac:dyDescent="0.2">
      <c r="A445" s="1">
        <v>887.15959959960003</v>
      </c>
      <c r="B445" s="1">
        <v>16470.9334367148</v>
      </c>
      <c r="C445" s="1"/>
      <c r="D445" s="1"/>
      <c r="E445" s="1" t="b">
        <f>tblTNFa[[#This Row],[NetMFI]]&gt;B444</f>
        <v>1</v>
      </c>
    </row>
    <row r="446" spans="1:5" x14ac:dyDescent="0.2">
      <c r="A446" s="1">
        <v>889.16111111111104</v>
      </c>
      <c r="B446" s="1">
        <v>16473.729428315401</v>
      </c>
      <c r="C446" s="1"/>
      <c r="D446" s="1"/>
      <c r="E446" s="1" t="b">
        <f>tblTNFa[[#This Row],[NetMFI]]&gt;B445</f>
        <v>1</v>
      </c>
    </row>
    <row r="447" spans="1:5" x14ac:dyDescent="0.2">
      <c r="A447" s="1">
        <v>891.16262262262296</v>
      </c>
      <c r="B447" s="1">
        <v>16476.5108501061</v>
      </c>
      <c r="C447" s="1"/>
      <c r="D447" s="1"/>
      <c r="E447" s="1" t="b">
        <f>tblTNFa[[#This Row],[NetMFI]]&gt;B446</f>
        <v>1</v>
      </c>
    </row>
    <row r="448" spans="1:5" x14ac:dyDescent="0.2">
      <c r="A448" s="1">
        <v>893.16413413413397</v>
      </c>
      <c r="B448" s="1">
        <v>16479.277807544899</v>
      </c>
      <c r="C448" s="1"/>
      <c r="D448" s="1"/>
      <c r="E448" s="1" t="b">
        <f>tblTNFa[[#This Row],[NetMFI]]&gt;B447</f>
        <v>1</v>
      </c>
    </row>
    <row r="449" spans="1:5" x14ac:dyDescent="0.2">
      <c r="A449" s="1">
        <v>895.16564564564601</v>
      </c>
      <c r="B449" s="1">
        <v>16482.030405116799</v>
      </c>
      <c r="C449" s="1"/>
      <c r="D449" s="1"/>
      <c r="E449" s="1" t="b">
        <f>tblTNFa[[#This Row],[NetMFI]]&gt;B448</f>
        <v>1</v>
      </c>
    </row>
    <row r="450" spans="1:5" x14ac:dyDescent="0.2">
      <c r="A450" s="1">
        <v>897.16715715715702</v>
      </c>
      <c r="B450" s="1">
        <v>16484.7687463447</v>
      </c>
      <c r="C450" s="1"/>
      <c r="D450" s="1"/>
      <c r="E450" s="1" t="b">
        <f>tblTNFa[[#This Row],[NetMFI]]&gt;B449</f>
        <v>1</v>
      </c>
    </row>
    <row r="451" spans="1:5" x14ac:dyDescent="0.2">
      <c r="A451" s="1">
        <v>899.16866866866906</v>
      </c>
      <c r="B451" s="1">
        <v>16487.4929338004</v>
      </c>
      <c r="C451" s="1"/>
      <c r="D451" s="1"/>
      <c r="E451" s="1" t="b">
        <f>tblTNFa[[#This Row],[NetMFI]]&gt;B450</f>
        <v>1</v>
      </c>
    </row>
    <row r="452" spans="1:5" x14ac:dyDescent="0.2">
      <c r="A452" s="1">
        <v>901.17018018017995</v>
      </c>
      <c r="B452" s="1">
        <v>16490.203069114599</v>
      </c>
      <c r="C452" s="1"/>
      <c r="D452" s="1"/>
      <c r="E452" s="1" t="b">
        <f>tblTNFa[[#This Row],[NetMFI]]&gt;B451</f>
        <v>1</v>
      </c>
    </row>
    <row r="453" spans="1:5" x14ac:dyDescent="0.2">
      <c r="A453" s="1">
        <v>903.17169169169199</v>
      </c>
      <c r="B453" s="1">
        <v>16492.8992529879</v>
      </c>
      <c r="C453" s="1"/>
      <c r="D453" s="1"/>
      <c r="E453" s="1" t="b">
        <f>tblTNFa[[#This Row],[NetMFI]]&gt;B452</f>
        <v>1</v>
      </c>
    </row>
    <row r="454" spans="1:5" x14ac:dyDescent="0.2">
      <c r="A454" s="1">
        <v>905.173203203203</v>
      </c>
      <c r="B454" s="1">
        <v>16495.5815852007</v>
      </c>
      <c r="C454" s="1"/>
      <c r="D454" s="1"/>
      <c r="E454" s="1" t="b">
        <f>tblTNFa[[#This Row],[NetMFI]]&gt;B453</f>
        <v>1</v>
      </c>
    </row>
    <row r="455" spans="1:5" x14ac:dyDescent="0.2">
      <c r="A455" s="1">
        <v>907.17471471471504</v>
      </c>
      <c r="B455" s="1">
        <v>16498.250164624002</v>
      </c>
      <c r="C455" s="1"/>
      <c r="D455" s="1"/>
      <c r="E455" s="1" t="b">
        <f>tblTNFa[[#This Row],[NetMFI]]&gt;B454</f>
        <v>1</v>
      </c>
    </row>
    <row r="456" spans="1:5" x14ac:dyDescent="0.2">
      <c r="A456" s="1">
        <v>909.17622622622605</v>
      </c>
      <c r="B456" s="1">
        <v>16500.905089228501</v>
      </c>
      <c r="C456" s="1"/>
      <c r="D456" s="1"/>
      <c r="E456" s="1" t="b">
        <f>tblTNFa[[#This Row],[NetMFI]]&gt;B455</f>
        <v>1</v>
      </c>
    </row>
    <row r="457" spans="1:5" x14ac:dyDescent="0.2">
      <c r="A457" s="1">
        <v>911.17773773773797</v>
      </c>
      <c r="B457" s="1">
        <v>16503.546456095501</v>
      </c>
      <c r="C457" s="1"/>
      <c r="D457" s="1"/>
      <c r="E457" s="1" t="b">
        <f>tblTNFa[[#This Row],[NetMFI]]&gt;B456</f>
        <v>1</v>
      </c>
    </row>
    <row r="458" spans="1:5" x14ac:dyDescent="0.2">
      <c r="A458" s="1">
        <v>913.17924924924898</v>
      </c>
      <c r="B458" s="1">
        <v>16506.174361426099</v>
      </c>
      <c r="C458" s="1"/>
      <c r="D458" s="1"/>
      <c r="E458" s="1" t="b">
        <f>tblTNFa[[#This Row],[NetMFI]]&gt;B457</f>
        <v>1</v>
      </c>
    </row>
    <row r="459" spans="1:5" x14ac:dyDescent="0.2">
      <c r="A459" s="1">
        <v>915.18076076076102</v>
      </c>
      <c r="B459" s="1">
        <v>16508.788900550899</v>
      </c>
      <c r="C459" s="1"/>
      <c r="D459" s="1"/>
      <c r="E459" s="1" t="b">
        <f>tblTNFa[[#This Row],[NetMFI]]&gt;B458</f>
        <v>1</v>
      </c>
    </row>
    <row r="460" spans="1:5" x14ac:dyDescent="0.2">
      <c r="A460" s="1">
        <v>917.18227227227203</v>
      </c>
      <c r="B460" s="1">
        <v>16511.3901679398</v>
      </c>
      <c r="C460" s="1"/>
      <c r="D460" s="1"/>
      <c r="E460" s="1" t="b">
        <f>tblTNFa[[#This Row],[NetMFI]]&gt;B459</f>
        <v>1</v>
      </c>
    </row>
    <row r="461" spans="1:5" x14ac:dyDescent="0.2">
      <c r="A461" s="1">
        <v>919.18378378378395</v>
      </c>
      <c r="B461" s="1">
        <v>16513.9782572113</v>
      </c>
      <c r="C461" s="1"/>
      <c r="D461" s="1"/>
      <c r="E461" s="1" t="b">
        <f>tblTNFa[[#This Row],[NetMFI]]&gt;B460</f>
        <v>1</v>
      </c>
    </row>
    <row r="462" spans="1:5" x14ac:dyDescent="0.2">
      <c r="A462" s="1">
        <v>921.18529529529496</v>
      </c>
      <c r="B462" s="1">
        <v>16516.5532611417</v>
      </c>
      <c r="C462" s="1"/>
      <c r="D462" s="1"/>
      <c r="E462" s="1" t="b">
        <f>tblTNFa[[#This Row],[NetMFI]]&gt;B461</f>
        <v>1</v>
      </c>
    </row>
    <row r="463" spans="1:5" x14ac:dyDescent="0.2">
      <c r="A463" s="1">
        <v>923.186806806807</v>
      </c>
      <c r="B463" s="1">
        <v>16519.115271674498</v>
      </c>
      <c r="C463" s="1"/>
      <c r="D463" s="1"/>
      <c r="E463" s="1" t="b">
        <f>tblTNFa[[#This Row],[NetMFI]]&gt;B462</f>
        <v>1</v>
      </c>
    </row>
    <row r="464" spans="1:5" x14ac:dyDescent="0.2">
      <c r="A464" s="1">
        <v>925.18831831831801</v>
      </c>
      <c r="B464" s="1">
        <v>16521.664379929101</v>
      </c>
      <c r="C464" s="1"/>
      <c r="D464" s="1"/>
      <c r="E464" s="1" t="b">
        <f>tblTNFa[[#This Row],[NetMFI]]&gt;B463</f>
        <v>1</v>
      </c>
    </row>
    <row r="465" spans="1:5" x14ac:dyDescent="0.2">
      <c r="A465" s="1">
        <v>927.18982982983005</v>
      </c>
      <c r="B465" s="1">
        <v>16524.200676210199</v>
      </c>
      <c r="C465" s="1"/>
      <c r="D465" s="1"/>
      <c r="E465" s="1" t="b">
        <f>tblTNFa[[#This Row],[NetMFI]]&gt;B464</f>
        <v>1</v>
      </c>
    </row>
    <row r="466" spans="1:5" x14ac:dyDescent="0.2">
      <c r="A466" s="1">
        <v>929.19134134134094</v>
      </c>
      <c r="B466" s="1">
        <v>16526.724250016199</v>
      </c>
      <c r="C466" s="1"/>
      <c r="D466" s="1"/>
      <c r="E466" s="1" t="b">
        <f>tblTNFa[[#This Row],[NetMFI]]&gt;B465</f>
        <v>1</v>
      </c>
    </row>
    <row r="467" spans="1:5" x14ac:dyDescent="0.2">
      <c r="A467" s="1">
        <v>931.19285285285298</v>
      </c>
      <c r="B467" s="1">
        <v>16529.235190048301</v>
      </c>
      <c r="C467" s="1"/>
      <c r="D467" s="1"/>
      <c r="E467" s="1" t="b">
        <f>tblTNFa[[#This Row],[NetMFI]]&gt;B466</f>
        <v>1</v>
      </c>
    </row>
    <row r="468" spans="1:5" x14ac:dyDescent="0.2">
      <c r="A468" s="1">
        <v>933.19436436436399</v>
      </c>
      <c r="B468" s="1">
        <v>16531.733584218899</v>
      </c>
      <c r="C468" s="1"/>
      <c r="D468" s="1"/>
      <c r="E468" s="1" t="b">
        <f>tblTNFa[[#This Row],[NetMFI]]&gt;B467</f>
        <v>1</v>
      </c>
    </row>
    <row r="469" spans="1:5" x14ac:dyDescent="0.2">
      <c r="A469" s="1">
        <v>935.19587587587603</v>
      </c>
      <c r="B469" s="1">
        <v>16534.219519660099</v>
      </c>
      <c r="C469" s="1"/>
      <c r="D469" s="1"/>
      <c r="E469" s="1" t="b">
        <f>tblTNFa[[#This Row],[NetMFI]]&gt;B468</f>
        <v>1</v>
      </c>
    </row>
    <row r="470" spans="1:5" x14ac:dyDescent="0.2">
      <c r="A470" s="1">
        <v>937.19738738738704</v>
      </c>
      <c r="B470" s="1">
        <v>16536.693082731999</v>
      </c>
      <c r="C470" s="1"/>
      <c r="D470" s="1"/>
      <c r="E470" s="1" t="b">
        <f>tblTNFa[[#This Row],[NetMFI]]&gt;B469</f>
        <v>1</v>
      </c>
    </row>
    <row r="471" spans="1:5" x14ac:dyDescent="0.2">
      <c r="A471" s="1">
        <v>939.19889889889896</v>
      </c>
      <c r="B471" s="1">
        <v>16539.154359031501</v>
      </c>
      <c r="C471" s="1"/>
      <c r="D471" s="1"/>
      <c r="E471" s="1" t="b">
        <f>tblTNFa[[#This Row],[NetMFI]]&gt;B470</f>
        <v>1</v>
      </c>
    </row>
    <row r="472" spans="1:5" x14ac:dyDescent="0.2">
      <c r="A472" s="1">
        <v>941.20041041040997</v>
      </c>
      <c r="B472" s="1">
        <v>16541.603433399701</v>
      </c>
      <c r="C472" s="1"/>
      <c r="D472" s="1"/>
      <c r="E472" s="1" t="b">
        <f>tblTNFa[[#This Row],[NetMFI]]&gt;B471</f>
        <v>1</v>
      </c>
    </row>
    <row r="473" spans="1:5" x14ac:dyDescent="0.2">
      <c r="A473" s="1">
        <v>943.20192192192201</v>
      </c>
      <c r="B473" s="1">
        <v>16544.040389930698</v>
      </c>
      <c r="C473" s="1"/>
      <c r="D473" s="1"/>
      <c r="E473" s="1" t="b">
        <f>tblTNFa[[#This Row],[NetMFI]]&gt;B472</f>
        <v>1</v>
      </c>
    </row>
    <row r="474" spans="1:5" x14ac:dyDescent="0.2">
      <c r="A474" s="1">
        <v>945.20343343343302</v>
      </c>
      <c r="B474" s="1">
        <v>16546.465311978998</v>
      </c>
      <c r="C474" s="1"/>
      <c r="D474" s="1"/>
      <c r="E474" s="1" t="b">
        <f>tblTNFa[[#This Row],[NetMFI]]&gt;B473</f>
        <v>1</v>
      </c>
    </row>
    <row r="475" spans="1:5" x14ac:dyDescent="0.2">
      <c r="A475" s="1">
        <v>947.20494494494505</v>
      </c>
      <c r="B475" s="1">
        <v>16548.8782821678</v>
      </c>
      <c r="C475" s="1"/>
      <c r="D475" s="1"/>
      <c r="E475" s="1" t="b">
        <f>tblTNFa[[#This Row],[NetMFI]]&gt;B474</f>
        <v>1</v>
      </c>
    </row>
    <row r="476" spans="1:5" x14ac:dyDescent="0.2">
      <c r="A476" s="1">
        <v>949.20645645645698</v>
      </c>
      <c r="B476" s="1">
        <v>16551.279382396599</v>
      </c>
      <c r="C476" s="1"/>
      <c r="D476" s="1"/>
      <c r="E476" s="1" t="b">
        <f>tblTNFa[[#This Row],[NetMFI]]&gt;B475</f>
        <v>1</v>
      </c>
    </row>
    <row r="477" spans="1:5" x14ac:dyDescent="0.2">
      <c r="A477" s="1">
        <v>951.20796796796799</v>
      </c>
      <c r="B477" s="1">
        <v>16553.6686938489</v>
      </c>
      <c r="C477" s="1"/>
      <c r="D477" s="1"/>
      <c r="E477" s="1" t="b">
        <f>tblTNFa[[#This Row],[NetMFI]]&gt;B476</f>
        <v>1</v>
      </c>
    </row>
    <row r="478" spans="1:5" x14ac:dyDescent="0.2">
      <c r="A478" s="1">
        <v>953.20947947948002</v>
      </c>
      <c r="B478" s="1">
        <v>16556.046297000001</v>
      </c>
      <c r="C478" s="1"/>
      <c r="D478" s="1"/>
      <c r="E478" s="1" t="b">
        <f>tblTNFa[[#This Row],[NetMFI]]&gt;B477</f>
        <v>1</v>
      </c>
    </row>
    <row r="479" spans="1:5" x14ac:dyDescent="0.2">
      <c r="A479" s="1">
        <v>955.21099099099104</v>
      </c>
      <c r="B479" s="1">
        <v>16558.4122716239</v>
      </c>
      <c r="C479" s="1"/>
      <c r="D479" s="1"/>
      <c r="E479" s="1" t="b">
        <f>tblTNFa[[#This Row],[NetMFI]]&gt;B478</f>
        <v>1</v>
      </c>
    </row>
    <row r="480" spans="1:5" x14ac:dyDescent="0.2">
      <c r="A480" s="1">
        <v>957.21250250250296</v>
      </c>
      <c r="B480" s="1">
        <v>16560.766696801398</v>
      </c>
      <c r="C480" s="1"/>
      <c r="D480" s="1"/>
      <c r="E480" s="1" t="b">
        <f>tblTNFa[[#This Row],[NetMFI]]&gt;B479</f>
        <v>1</v>
      </c>
    </row>
    <row r="481" spans="1:5" x14ac:dyDescent="0.2">
      <c r="A481" s="1">
        <v>959.21401401401397</v>
      </c>
      <c r="B481" s="1">
        <v>16563.109650926999</v>
      </c>
      <c r="C481" s="1"/>
      <c r="D481" s="1"/>
      <c r="E481" s="1" t="b">
        <f>tblTNFa[[#This Row],[NetMFI]]&gt;B480</f>
        <v>1</v>
      </c>
    </row>
    <row r="482" spans="1:5" x14ac:dyDescent="0.2">
      <c r="A482" s="1">
        <v>961.215525525526</v>
      </c>
      <c r="B482" s="1">
        <v>16565.441211716301</v>
      </c>
      <c r="C482" s="1"/>
      <c r="D482" s="1"/>
      <c r="E482" s="1" t="b">
        <f>tblTNFa[[#This Row],[NetMFI]]&gt;B481</f>
        <v>1</v>
      </c>
    </row>
    <row r="483" spans="1:5" x14ac:dyDescent="0.2">
      <c r="A483" s="1">
        <v>963.21703703703702</v>
      </c>
      <c r="B483" s="1">
        <v>16567.761456213</v>
      </c>
      <c r="C483" s="1"/>
      <c r="D483" s="1"/>
      <c r="E483" s="1" t="b">
        <f>tblTNFa[[#This Row],[NetMFI]]&gt;B482</f>
        <v>1</v>
      </c>
    </row>
    <row r="484" spans="1:5" x14ac:dyDescent="0.2">
      <c r="A484" s="1">
        <v>965.21854854854905</v>
      </c>
      <c r="B484" s="1">
        <v>16570.070460796102</v>
      </c>
      <c r="C484" s="1"/>
      <c r="D484" s="1"/>
      <c r="E484" s="1" t="b">
        <f>tblTNFa[[#This Row],[NetMFI]]&gt;B483</f>
        <v>1</v>
      </c>
    </row>
    <row r="485" spans="1:5" x14ac:dyDescent="0.2">
      <c r="A485" s="1">
        <v>967.22006006005995</v>
      </c>
      <c r="B485" s="1">
        <v>16572.3683011865</v>
      </c>
      <c r="C485" s="1"/>
      <c r="D485" s="1"/>
      <c r="E485" s="1" t="b">
        <f>tblTNFa[[#This Row],[NetMFI]]&gt;B484</f>
        <v>1</v>
      </c>
    </row>
    <row r="486" spans="1:5" x14ac:dyDescent="0.2">
      <c r="A486" s="1">
        <v>969.22157157157199</v>
      </c>
      <c r="B486" s="1">
        <v>16574.655052454498</v>
      </c>
      <c r="C486" s="1"/>
      <c r="D486" s="1"/>
      <c r="E486" s="1" t="b">
        <f>tblTNFa[[#This Row],[NetMFI]]&gt;B485</f>
        <v>1</v>
      </c>
    </row>
    <row r="487" spans="1:5" x14ac:dyDescent="0.2">
      <c r="A487" s="1">
        <v>971.223083083083</v>
      </c>
      <c r="B487" s="1">
        <v>16576.930789025901</v>
      </c>
      <c r="C487" s="1"/>
      <c r="D487" s="1"/>
      <c r="E487" s="1" t="b">
        <f>tblTNFa[[#This Row],[NetMFI]]&gt;B486</f>
        <v>1</v>
      </c>
    </row>
    <row r="488" spans="1:5" x14ac:dyDescent="0.2">
      <c r="A488" s="1">
        <v>973.22459459459503</v>
      </c>
      <c r="B488" s="1">
        <v>16579.1955846893</v>
      </c>
      <c r="C488" s="1"/>
      <c r="D488" s="1"/>
      <c r="E488" s="1" t="b">
        <f>tblTNFa[[#This Row],[NetMFI]]&gt;B487</f>
        <v>1</v>
      </c>
    </row>
    <row r="489" spans="1:5" x14ac:dyDescent="0.2">
      <c r="A489" s="1">
        <v>975.22610610610604</v>
      </c>
      <c r="B489" s="1">
        <v>16581.449512602099</v>
      </c>
      <c r="C489" s="1"/>
      <c r="D489" s="1"/>
      <c r="E489" s="1" t="b">
        <f>tblTNFa[[#This Row],[NetMFI]]&gt;B488</f>
        <v>1</v>
      </c>
    </row>
    <row r="490" spans="1:5" x14ac:dyDescent="0.2">
      <c r="A490" s="1">
        <v>977.22761761761797</v>
      </c>
      <c r="B490" s="1">
        <v>16583.692645297699</v>
      </c>
      <c r="C490" s="1"/>
      <c r="D490" s="1"/>
      <c r="E490" s="1" t="b">
        <f>tblTNFa[[#This Row],[NetMFI]]&gt;B489</f>
        <v>1</v>
      </c>
    </row>
    <row r="491" spans="1:5" x14ac:dyDescent="0.2">
      <c r="A491" s="1">
        <v>979.22912912912898</v>
      </c>
      <c r="B491" s="1">
        <v>16585.925054691601</v>
      </c>
      <c r="C491" s="1"/>
      <c r="D491" s="1"/>
      <c r="E491" s="1" t="b">
        <f>tblTNFa[[#This Row],[NetMFI]]&gt;B490</f>
        <v>1</v>
      </c>
    </row>
    <row r="492" spans="1:5" x14ac:dyDescent="0.2">
      <c r="A492" s="1">
        <v>981.23064064064101</v>
      </c>
      <c r="B492" s="1">
        <v>16588.146812087602</v>
      </c>
      <c r="C492" s="1"/>
      <c r="D492" s="1"/>
      <c r="E492" s="1" t="b">
        <f>tblTNFa[[#This Row],[NetMFI]]&gt;B491</f>
        <v>1</v>
      </c>
    </row>
    <row r="493" spans="1:5" x14ac:dyDescent="0.2">
      <c r="A493" s="1">
        <v>983.23215215215203</v>
      </c>
      <c r="B493" s="1">
        <v>16590.357988184602</v>
      </c>
      <c r="C493" s="1"/>
      <c r="D493" s="1"/>
      <c r="E493" s="1" t="b">
        <f>tblTNFa[[#This Row],[NetMFI]]&gt;B492</f>
        <v>1</v>
      </c>
    </row>
    <row r="494" spans="1:5" x14ac:dyDescent="0.2">
      <c r="A494" s="1">
        <v>985.23366366366395</v>
      </c>
      <c r="B494" s="1">
        <v>16592.5586530824</v>
      </c>
      <c r="C494" s="1"/>
      <c r="D494" s="1"/>
      <c r="E494" s="1" t="b">
        <f>tblTNFa[[#This Row],[NetMFI]]&gt;B493</f>
        <v>1</v>
      </c>
    </row>
    <row r="495" spans="1:5" x14ac:dyDescent="0.2">
      <c r="A495" s="1">
        <v>987.23517517517496</v>
      </c>
      <c r="B495" s="1">
        <v>16594.7488762881</v>
      </c>
      <c r="C495" s="1"/>
      <c r="D495" s="1"/>
      <c r="E495" s="1" t="b">
        <f>tblTNFa[[#This Row],[NetMFI]]&gt;B494</f>
        <v>1</v>
      </c>
    </row>
    <row r="496" spans="1:5" x14ac:dyDescent="0.2">
      <c r="A496" s="1">
        <v>989.23668668668699</v>
      </c>
      <c r="B496" s="1">
        <v>16596.928726722199</v>
      </c>
      <c r="C496" s="1"/>
      <c r="D496" s="1"/>
      <c r="E496" s="1" t="b">
        <f>tblTNFa[[#This Row],[NetMFI]]&gt;B495</f>
        <v>1</v>
      </c>
    </row>
    <row r="497" spans="1:5" x14ac:dyDescent="0.2">
      <c r="A497" s="1">
        <v>991.23819819819801</v>
      </c>
      <c r="B497" s="1">
        <v>16599.098272724299</v>
      </c>
      <c r="C497" s="1"/>
      <c r="D497" s="1"/>
      <c r="E497" s="1" t="b">
        <f>tblTNFa[[#This Row],[NetMFI]]&gt;B496</f>
        <v>1</v>
      </c>
    </row>
    <row r="498" spans="1:5" x14ac:dyDescent="0.2">
      <c r="A498" s="1">
        <v>993.23970970971004</v>
      </c>
      <c r="B498" s="1">
        <v>16601.257582059301</v>
      </c>
      <c r="C498" s="1"/>
      <c r="D498" s="1"/>
      <c r="E498" s="1" t="b">
        <f>tblTNFa[[#This Row],[NetMFI]]&gt;B497</f>
        <v>1</v>
      </c>
    </row>
    <row r="499" spans="1:5" x14ac:dyDescent="0.2">
      <c r="A499" s="1">
        <v>995.24122122122105</v>
      </c>
      <c r="B499" s="1">
        <v>16603.406721923398</v>
      </c>
      <c r="C499" s="1"/>
      <c r="D499" s="1"/>
      <c r="E499" s="1" t="b">
        <f>tblTNFa[[#This Row],[NetMFI]]&gt;B498</f>
        <v>1</v>
      </c>
    </row>
    <row r="500" spans="1:5" x14ac:dyDescent="0.2">
      <c r="A500" s="1">
        <v>997.24273273273297</v>
      </c>
      <c r="B500" s="1">
        <v>16605.545758949502</v>
      </c>
      <c r="C500" s="1"/>
      <c r="D500" s="1"/>
      <c r="E500" s="1" t="b">
        <f>tblTNFa[[#This Row],[NetMFI]]&gt;B499</f>
        <v>1</v>
      </c>
    </row>
    <row r="501" spans="1:5" x14ac:dyDescent="0.2">
      <c r="A501" s="1">
        <v>999.24424424424399</v>
      </c>
      <c r="B501" s="1">
        <v>16607.6747592131</v>
      </c>
      <c r="C501" s="1"/>
      <c r="D501" s="1"/>
      <c r="E501" s="1" t="b">
        <f>tblTNFa[[#This Row],[NetMFI]]&gt;B500</f>
        <v>1</v>
      </c>
    </row>
    <row r="502" spans="1:5" x14ac:dyDescent="0.2">
      <c r="A502" s="1">
        <v>1001.24575575576</v>
      </c>
      <c r="B502" s="1">
        <v>16609.793788238101</v>
      </c>
      <c r="C502" s="1"/>
      <c r="D502" s="1"/>
      <c r="E502" s="1" t="b">
        <f>tblTNFa[[#This Row],[NetMFI]]&gt;B501</f>
        <v>1</v>
      </c>
    </row>
    <row r="503" spans="1:5" x14ac:dyDescent="0.2">
      <c r="A503" s="1">
        <v>1003.24726726727</v>
      </c>
      <c r="B503" s="1">
        <v>16611.902911002398</v>
      </c>
      <c r="C503" s="1"/>
      <c r="D503" s="1"/>
      <c r="E503" s="1" t="b">
        <f>tblTNFa[[#This Row],[NetMFI]]&gt;B502</f>
        <v>1</v>
      </c>
    </row>
    <row r="504" spans="1:5" x14ac:dyDescent="0.2">
      <c r="A504" s="1">
        <v>1005.24877877878</v>
      </c>
      <c r="B504" s="1">
        <v>16614.002191942898</v>
      </c>
      <c r="C504" s="1"/>
      <c r="D504" s="1"/>
      <c r="E504" s="1" t="b">
        <f>tblTNFa[[#This Row],[NetMFI]]&gt;B503</f>
        <v>1</v>
      </c>
    </row>
    <row r="505" spans="1:5" x14ac:dyDescent="0.2">
      <c r="A505" s="1">
        <v>1007.25029029029</v>
      </c>
      <c r="B505" s="1">
        <v>16616.0916949618</v>
      </c>
      <c r="C505" s="1"/>
      <c r="D505" s="1"/>
      <c r="E505" s="1" t="b">
        <f>tblTNFa[[#This Row],[NetMFI]]&gt;B504</f>
        <v>1</v>
      </c>
    </row>
    <row r="506" spans="1:5" x14ac:dyDescent="0.2">
      <c r="A506" s="1">
        <v>1009.2518018018</v>
      </c>
      <c r="B506" s="1">
        <v>16618.171483431201</v>
      </c>
      <c r="C506" s="1"/>
      <c r="D506" s="1"/>
      <c r="E506" s="1" t="b">
        <f>tblTNFa[[#This Row],[NetMFI]]&gt;B505</f>
        <v>1</v>
      </c>
    </row>
    <row r="507" spans="1:5" x14ac:dyDescent="0.2">
      <c r="A507" s="1">
        <v>1011.2533133133099</v>
      </c>
      <c r="B507" s="1">
        <v>16620.2416201991</v>
      </c>
      <c r="C507" s="1"/>
      <c r="D507" s="1"/>
      <c r="E507" s="1" t="b">
        <f>tblTNFa[[#This Row],[NetMFI]]&gt;B506</f>
        <v>1</v>
      </c>
    </row>
    <row r="508" spans="1:5" x14ac:dyDescent="0.2">
      <c r="A508" s="1">
        <v>1013.25482482482</v>
      </c>
      <c r="B508" s="1">
        <v>16622.302167593902</v>
      </c>
      <c r="C508" s="1"/>
      <c r="D508" s="1"/>
      <c r="E508" s="1" t="b">
        <f>tblTNFa[[#This Row],[NetMFI]]&gt;B507</f>
        <v>1</v>
      </c>
    </row>
    <row r="509" spans="1:5" x14ac:dyDescent="0.2">
      <c r="A509" s="1">
        <v>1015.25633633634</v>
      </c>
      <c r="B509" s="1">
        <v>16624.353187430501</v>
      </c>
      <c r="C509" s="1"/>
      <c r="D509" s="1"/>
      <c r="E509" s="1" t="b">
        <f>tblTNFa[[#This Row],[NetMFI]]&gt;B508</f>
        <v>1</v>
      </c>
    </row>
    <row r="510" spans="1:5" x14ac:dyDescent="0.2">
      <c r="A510" s="1">
        <v>1017.25784784785</v>
      </c>
      <c r="B510" s="1">
        <v>16626.394741014701</v>
      </c>
      <c r="C510" s="1"/>
      <c r="D510" s="1"/>
      <c r="E510" s="1" t="b">
        <f>tblTNFa[[#This Row],[NetMFI]]&gt;B509</f>
        <v>1</v>
      </c>
    </row>
    <row r="511" spans="1:5" x14ac:dyDescent="0.2">
      <c r="A511" s="1">
        <v>1019.25935935936</v>
      </c>
      <c r="B511" s="1">
        <v>16628.426889148799</v>
      </c>
      <c r="C511" s="1"/>
      <c r="D511" s="1"/>
      <c r="E511" s="1" t="b">
        <f>tblTNFa[[#This Row],[NetMFI]]&gt;B510</f>
        <v>1</v>
      </c>
    </row>
    <row r="512" spans="1:5" x14ac:dyDescent="0.2">
      <c r="A512" s="1">
        <v>1021.26087087087</v>
      </c>
      <c r="B512" s="1">
        <v>16630.449692136001</v>
      </c>
      <c r="C512" s="1"/>
      <c r="D512" s="1"/>
      <c r="E512" s="1" t="b">
        <f>tblTNFa[[#This Row],[NetMFI]]&gt;B511</f>
        <v>1</v>
      </c>
    </row>
    <row r="513" spans="1:5" x14ac:dyDescent="0.2">
      <c r="A513" s="1">
        <v>1023.26238238238</v>
      </c>
      <c r="B513" s="1">
        <v>16632.463209786201</v>
      </c>
      <c r="C513" s="1"/>
      <c r="D513" s="1"/>
      <c r="E513" s="1" t="b">
        <f>tblTNFa[[#This Row],[NetMFI]]&gt;B512</f>
        <v>1</v>
      </c>
    </row>
    <row r="514" spans="1:5" x14ac:dyDescent="0.2">
      <c r="A514" s="1">
        <v>1025.2638938938901</v>
      </c>
      <c r="B514" s="1">
        <v>16634.467501420299</v>
      </c>
      <c r="C514" s="1"/>
      <c r="D514" s="1"/>
      <c r="E514" s="1" t="b">
        <f>tblTNFa[[#This Row],[NetMFI]]&gt;B513</f>
        <v>1</v>
      </c>
    </row>
    <row r="515" spans="1:5" x14ac:dyDescent="0.2">
      <c r="A515" s="1">
        <v>1027.2654054054101</v>
      </c>
      <c r="B515" s="1">
        <v>16636.462625875101</v>
      </c>
      <c r="C515" s="1"/>
      <c r="D515" s="1"/>
      <c r="E515" s="1" t="b">
        <f>tblTNFa[[#This Row],[NetMFI]]&gt;B514</f>
        <v>1</v>
      </c>
    </row>
    <row r="516" spans="1:5" x14ac:dyDescent="0.2">
      <c r="A516" s="1">
        <v>1029.2669169169201</v>
      </c>
      <c r="B516" s="1">
        <v>16638.448641508301</v>
      </c>
      <c r="C516" s="1"/>
      <c r="D516" s="1"/>
      <c r="E516" s="1" t="b">
        <f>tblTNFa[[#This Row],[NetMFI]]&gt;B515</f>
        <v>1</v>
      </c>
    </row>
    <row r="517" spans="1:5" x14ac:dyDescent="0.2">
      <c r="A517" s="1">
        <v>1031.2684284284301</v>
      </c>
      <c r="B517" s="1">
        <v>16640.425606203102</v>
      </c>
      <c r="C517" s="1"/>
      <c r="D517" s="1"/>
      <c r="E517" s="1" t="b">
        <f>tblTNFa[[#This Row],[NetMFI]]&gt;B516</f>
        <v>1</v>
      </c>
    </row>
    <row r="518" spans="1:5" x14ac:dyDescent="0.2">
      <c r="A518" s="1">
        <v>1033.2699399399401</v>
      </c>
      <c r="B518" s="1">
        <v>16642.393577373099</v>
      </c>
      <c r="C518" s="1"/>
      <c r="D518" s="1"/>
      <c r="E518" s="1" t="b">
        <f>tblTNFa[[#This Row],[NetMFI]]&gt;B517</f>
        <v>1</v>
      </c>
    </row>
    <row r="519" spans="1:5" x14ac:dyDescent="0.2">
      <c r="A519" s="1">
        <v>1035.27145145145</v>
      </c>
      <c r="B519" s="1">
        <v>16644.352611966398</v>
      </c>
      <c r="C519" s="1"/>
      <c r="D519" s="1"/>
      <c r="E519" s="1" t="b">
        <f>tblTNFa[[#This Row],[NetMFI]]&gt;B518</f>
        <v>1</v>
      </c>
    </row>
    <row r="520" spans="1:5" x14ac:dyDescent="0.2">
      <c r="A520" s="1">
        <v>1037.27296296296</v>
      </c>
      <c r="B520" s="1">
        <v>16646.302766470901</v>
      </c>
      <c r="C520" s="1"/>
      <c r="D520" s="1"/>
      <c r="E520" s="1" t="b">
        <f>tblTNFa[[#This Row],[NetMFI]]&gt;B519</f>
        <v>1</v>
      </c>
    </row>
    <row r="521" spans="1:5" x14ac:dyDescent="0.2">
      <c r="A521" s="1">
        <v>1039.27447447447</v>
      </c>
      <c r="B521" s="1">
        <v>16648.244096918199</v>
      </c>
      <c r="C521" s="1"/>
      <c r="D521" s="1"/>
      <c r="E521" s="1" t="b">
        <f>tblTNFa[[#This Row],[NetMFI]]&gt;B520</f>
        <v>1</v>
      </c>
    </row>
    <row r="522" spans="1:5" x14ac:dyDescent="0.2">
      <c r="A522" s="1">
        <v>1041.27598598599</v>
      </c>
      <c r="B522" s="1">
        <v>16650.176658888398</v>
      </c>
      <c r="C522" s="1"/>
      <c r="D522" s="1"/>
      <c r="E522" s="1" t="b">
        <f>tblTNFa[[#This Row],[NetMFI]]&gt;B521</f>
        <v>1</v>
      </c>
    </row>
    <row r="523" spans="1:5" x14ac:dyDescent="0.2">
      <c r="A523" s="1">
        <v>1043.2774974975</v>
      </c>
      <c r="B523" s="1">
        <v>16652.1005075145</v>
      </c>
      <c r="C523" s="1"/>
      <c r="D523" s="1"/>
      <c r="E523" s="1" t="b">
        <f>tblTNFa[[#This Row],[NetMFI]]&gt;B522</f>
        <v>1</v>
      </c>
    </row>
    <row r="524" spans="1:5" x14ac:dyDescent="0.2">
      <c r="A524" s="1">
        <v>1045.27900900901</v>
      </c>
      <c r="B524" s="1">
        <v>16654.015697486499</v>
      </c>
      <c r="C524" s="1"/>
      <c r="D524" s="1"/>
      <c r="E524" s="1" t="b">
        <f>tblTNFa[[#This Row],[NetMFI]]&gt;B523</f>
        <v>1</v>
      </c>
    </row>
    <row r="525" spans="1:5" x14ac:dyDescent="0.2">
      <c r="A525" s="1">
        <v>1047.28052052052</v>
      </c>
      <c r="B525" s="1">
        <v>16655.922283056101</v>
      </c>
      <c r="C525" s="1"/>
      <c r="D525" s="1"/>
      <c r="E525" s="1" t="b">
        <f>tblTNFa[[#This Row],[NetMFI]]&gt;B524</f>
        <v>1</v>
      </c>
    </row>
    <row r="526" spans="1:5" x14ac:dyDescent="0.2">
      <c r="A526" s="1">
        <v>1049.28203203203</v>
      </c>
      <c r="B526" s="1">
        <v>16657.8203180407</v>
      </c>
      <c r="C526" s="1"/>
      <c r="D526" s="1"/>
      <c r="E526" s="1" t="b">
        <f>tblTNFa[[#This Row],[NetMFI]]&gt;B525</f>
        <v>1</v>
      </c>
    </row>
    <row r="527" spans="1:5" x14ac:dyDescent="0.2">
      <c r="A527" s="1">
        <v>1051.28354354354</v>
      </c>
      <c r="B527" s="1">
        <v>16659.709855827899</v>
      </c>
      <c r="C527" s="1"/>
      <c r="D527" s="1"/>
      <c r="E527" s="1" t="b">
        <f>tblTNFa[[#This Row],[NetMFI]]&gt;B526</f>
        <v>1</v>
      </c>
    </row>
    <row r="528" spans="1:5" x14ac:dyDescent="0.2">
      <c r="A528" s="1">
        <v>1053.28505505506</v>
      </c>
      <c r="B528" s="1">
        <v>16661.5909493791</v>
      </c>
      <c r="C528" s="1"/>
      <c r="D528" s="1"/>
      <c r="E528" s="1" t="b">
        <f>tblTNFa[[#This Row],[NetMFI]]&gt;B527</f>
        <v>1</v>
      </c>
    </row>
    <row r="529" spans="1:5" x14ac:dyDescent="0.2">
      <c r="A529" s="1">
        <v>1055.2865665665699</v>
      </c>
      <c r="B529" s="1">
        <v>16663.4636512342</v>
      </c>
      <c r="C529" s="1"/>
      <c r="D529" s="1"/>
      <c r="E529" s="1" t="b">
        <f>tblTNFa[[#This Row],[NetMFI]]&gt;B528</f>
        <v>1</v>
      </c>
    </row>
    <row r="530" spans="1:5" x14ac:dyDescent="0.2">
      <c r="A530" s="1">
        <v>1057.2880780780799</v>
      </c>
      <c r="B530" s="1">
        <v>16665.3280135157</v>
      </c>
      <c r="C530" s="1"/>
      <c r="D530" s="1"/>
      <c r="E530" s="1" t="b">
        <f>tblTNFa[[#This Row],[NetMFI]]&gt;B529</f>
        <v>1</v>
      </c>
    </row>
    <row r="531" spans="1:5" x14ac:dyDescent="0.2">
      <c r="A531" s="1">
        <v>1059.2895895895899</v>
      </c>
      <c r="B531" s="1">
        <v>16667.184087932099</v>
      </c>
      <c r="C531" s="1"/>
      <c r="D531" s="1"/>
      <c r="E531" s="1" t="b">
        <f>tblTNFa[[#This Row],[NetMFI]]&gt;B530</f>
        <v>1</v>
      </c>
    </row>
    <row r="532" spans="1:5" x14ac:dyDescent="0.2">
      <c r="A532" s="1">
        <v>1061.2911011010999</v>
      </c>
      <c r="B532" s="1">
        <v>16669.031925782499</v>
      </c>
      <c r="C532" s="1"/>
      <c r="D532" s="1"/>
      <c r="E532" s="1" t="b">
        <f>tblTNFa[[#This Row],[NetMFI]]&gt;B531</f>
        <v>1</v>
      </c>
    </row>
    <row r="533" spans="1:5" x14ac:dyDescent="0.2">
      <c r="A533" s="1">
        <v>1063.2926126126099</v>
      </c>
      <c r="B533" s="1">
        <v>16670.871577960399</v>
      </c>
      <c r="C533" s="1"/>
      <c r="D533" s="1"/>
      <c r="E533" s="1" t="b">
        <f>tblTNFa[[#This Row],[NetMFI]]&gt;B532</f>
        <v>1</v>
      </c>
    </row>
    <row r="534" spans="1:5" x14ac:dyDescent="0.2">
      <c r="A534" s="1">
        <v>1065.2941241241199</v>
      </c>
      <c r="B534" s="1">
        <v>16672.703094957302</v>
      </c>
      <c r="C534" s="1"/>
      <c r="D534" s="1"/>
      <c r="E534" s="1" t="b">
        <f>tblTNFa[[#This Row],[NetMFI]]&gt;B533</f>
        <v>1</v>
      </c>
    </row>
    <row r="535" spans="1:5" x14ac:dyDescent="0.2">
      <c r="A535" s="1">
        <v>1067.2956356356401</v>
      </c>
      <c r="B535" s="1">
        <v>16674.526526867001</v>
      </c>
      <c r="C535" s="1"/>
      <c r="D535" s="1"/>
      <c r="E535" s="1" t="b">
        <f>tblTNFa[[#This Row],[NetMFI]]&gt;B534</f>
        <v>1</v>
      </c>
    </row>
    <row r="536" spans="1:5" x14ac:dyDescent="0.2">
      <c r="A536" s="1">
        <v>1069.2971471471501</v>
      </c>
      <c r="B536" s="1">
        <v>16676.3419233891</v>
      </c>
      <c r="C536" s="1"/>
      <c r="D536" s="1"/>
      <c r="E536" s="1" t="b">
        <f>tblTNFa[[#This Row],[NetMFI]]&gt;B535</f>
        <v>1</v>
      </c>
    </row>
    <row r="537" spans="1:5" x14ac:dyDescent="0.2">
      <c r="A537" s="1">
        <v>1071.2986586586601</v>
      </c>
      <c r="B537" s="1">
        <v>16678.149333832702</v>
      </c>
      <c r="C537" s="1"/>
      <c r="D537" s="1"/>
      <c r="E537" s="1" t="b">
        <f>tblTNFa[[#This Row],[NetMFI]]&gt;B536</f>
        <v>1</v>
      </c>
    </row>
    <row r="538" spans="1:5" x14ac:dyDescent="0.2">
      <c r="A538" s="1">
        <v>1073.3001701701701</v>
      </c>
      <c r="B538" s="1">
        <v>16679.9488071206</v>
      </c>
      <c r="C538" s="1"/>
      <c r="D538" s="1"/>
      <c r="E538" s="1" t="b">
        <f>tblTNFa[[#This Row],[NetMFI]]&gt;B537</f>
        <v>1</v>
      </c>
    </row>
    <row r="539" spans="1:5" x14ac:dyDescent="0.2">
      <c r="A539" s="1">
        <v>1075.3016816816801</v>
      </c>
      <c r="B539" s="1">
        <v>16681.7403917923</v>
      </c>
      <c r="C539" s="1"/>
      <c r="D539" s="1"/>
      <c r="E539" s="1" t="b">
        <f>tblTNFa[[#This Row],[NetMFI]]&gt;B538</f>
        <v>1</v>
      </c>
    </row>
    <row r="540" spans="1:5" x14ac:dyDescent="0.2">
      <c r="A540" s="1">
        <v>1077.3031931931901</v>
      </c>
      <c r="B540" s="1">
        <v>16683.5241360082</v>
      </c>
      <c r="C540" s="1"/>
      <c r="D540" s="1"/>
      <c r="E540" s="1" t="b">
        <f>tblTNFa[[#This Row],[NetMFI]]&gt;B539</f>
        <v>1</v>
      </c>
    </row>
    <row r="541" spans="1:5" x14ac:dyDescent="0.2">
      <c r="A541" s="1">
        <v>1079.3047047047</v>
      </c>
      <c r="B541" s="1">
        <v>16685.300087553002</v>
      </c>
      <c r="C541" s="1"/>
      <c r="D541" s="1"/>
      <c r="E541" s="1" t="b">
        <f>tblTNFa[[#This Row],[NetMFI]]&gt;B540</f>
        <v>1</v>
      </c>
    </row>
    <row r="542" spans="1:5" x14ac:dyDescent="0.2">
      <c r="A542" s="1">
        <v>1081.30621621622</v>
      </c>
      <c r="B542" s="1">
        <v>16687.0682938391</v>
      </c>
      <c r="C542" s="1"/>
      <c r="D542" s="1"/>
      <c r="E542" s="1" t="b">
        <f>tblTNFa[[#This Row],[NetMFI]]&gt;B541</f>
        <v>1</v>
      </c>
    </row>
    <row r="543" spans="1:5" x14ac:dyDescent="0.2">
      <c r="A543" s="1">
        <v>1083.30772772773</v>
      </c>
      <c r="B543" s="1">
        <v>16688.8288019104</v>
      </c>
      <c r="C543" s="1"/>
      <c r="D543" s="1"/>
      <c r="E543" s="1" t="b">
        <f>tblTNFa[[#This Row],[NetMFI]]&gt;B542</f>
        <v>1</v>
      </c>
    </row>
    <row r="544" spans="1:5" x14ac:dyDescent="0.2">
      <c r="A544" s="1">
        <v>1085.30923923924</v>
      </c>
      <c r="B544" s="1">
        <v>16690.581658445699</v>
      </c>
      <c r="C544" s="1"/>
      <c r="D544" s="1"/>
      <c r="E544" s="1" t="b">
        <f>tblTNFa[[#This Row],[NetMFI]]&gt;B543</f>
        <v>1</v>
      </c>
    </row>
    <row r="545" spans="1:5" x14ac:dyDescent="0.2">
      <c r="A545" s="1">
        <v>1087.31075075075</v>
      </c>
      <c r="B545" s="1">
        <v>16692.326909761901</v>
      </c>
      <c r="C545" s="1"/>
      <c r="D545" s="1"/>
      <c r="E545" s="1" t="b">
        <f>tblTNFa[[#This Row],[NetMFI]]&gt;B544</f>
        <v>1</v>
      </c>
    </row>
    <row r="546" spans="1:5" x14ac:dyDescent="0.2">
      <c r="A546" s="1">
        <v>1089.31226226226</v>
      </c>
      <c r="B546" s="1">
        <v>16694.064601817699</v>
      </c>
      <c r="C546" s="1"/>
      <c r="D546" s="1"/>
      <c r="E546" s="1" t="b">
        <f>tblTNFa[[#This Row],[NetMFI]]&gt;B545</f>
        <v>1</v>
      </c>
    </row>
    <row r="547" spans="1:5" x14ac:dyDescent="0.2">
      <c r="A547" s="1">
        <v>1091.31377377377</v>
      </c>
      <c r="B547" s="1">
        <v>16695.794780216998</v>
      </c>
      <c r="C547" s="1"/>
      <c r="D547" s="1"/>
      <c r="E547" s="1" t="b">
        <f>tblTNFa[[#This Row],[NetMFI]]&gt;B546</f>
        <v>1</v>
      </c>
    </row>
    <row r="548" spans="1:5" x14ac:dyDescent="0.2">
      <c r="A548" s="1">
        <v>1093.31528528529</v>
      </c>
      <c r="B548" s="1">
        <v>16697.517490211801</v>
      </c>
      <c r="C548" s="1"/>
      <c r="D548" s="1"/>
      <c r="E548" s="1" t="b">
        <f>tblTNFa[[#This Row],[NetMFI]]&gt;B547</f>
        <v>1</v>
      </c>
    </row>
    <row r="549" spans="1:5" x14ac:dyDescent="0.2">
      <c r="A549" s="1">
        <v>1095.3167967968</v>
      </c>
      <c r="B549" s="1">
        <v>16699.232776706001</v>
      </c>
      <c r="C549" s="1"/>
      <c r="D549" s="1"/>
      <c r="E549" s="1" t="b">
        <f>tblTNFa[[#This Row],[NetMFI]]&gt;B548</f>
        <v>1</v>
      </c>
    </row>
    <row r="550" spans="1:5" x14ac:dyDescent="0.2">
      <c r="A550" s="1">
        <v>1097.31830830831</v>
      </c>
      <c r="B550" s="1">
        <v>16700.940684258399</v>
      </c>
      <c r="C550" s="1"/>
      <c r="D550" s="1"/>
      <c r="E550" s="1" t="b">
        <f>tblTNFa[[#This Row],[NetMFI]]&gt;B549</f>
        <v>1</v>
      </c>
    </row>
    <row r="551" spans="1:5" x14ac:dyDescent="0.2">
      <c r="A551" s="1">
        <v>1099.3198198198199</v>
      </c>
      <c r="B551" s="1">
        <v>16702.641257086001</v>
      </c>
      <c r="C551" s="1"/>
      <c r="D551" s="1"/>
      <c r="E551" s="1" t="b">
        <f>tblTNFa[[#This Row],[NetMFI]]&gt;B550</f>
        <v>1</v>
      </c>
    </row>
    <row r="552" spans="1:5" x14ac:dyDescent="0.2">
      <c r="A552" s="1">
        <v>1101.3213313313299</v>
      </c>
      <c r="B552" s="1">
        <v>16704.334539067</v>
      </c>
      <c r="C552" s="1"/>
      <c r="D552" s="1"/>
      <c r="E552" s="1" t="b">
        <f>tblTNFa[[#This Row],[NetMFI]]&gt;B551</f>
        <v>1</v>
      </c>
    </row>
    <row r="553" spans="1:5" x14ac:dyDescent="0.2">
      <c r="A553" s="1">
        <v>1103.3228428428399</v>
      </c>
      <c r="B553" s="1">
        <v>16706.020573744201</v>
      </c>
      <c r="C553" s="1"/>
      <c r="D553" s="1"/>
      <c r="E553" s="1" t="b">
        <f>tblTNFa[[#This Row],[NetMFI]]&gt;B552</f>
        <v>1</v>
      </c>
    </row>
    <row r="554" spans="1:5" x14ac:dyDescent="0.2">
      <c r="A554" s="1">
        <v>1105.3243543543499</v>
      </c>
      <c r="B554" s="1">
        <v>16707.699404328101</v>
      </c>
      <c r="C554" s="1"/>
      <c r="D554" s="1"/>
      <c r="E554" s="1" t="b">
        <f>tblTNFa[[#This Row],[NetMFI]]&gt;B553</f>
        <v>1</v>
      </c>
    </row>
    <row r="555" spans="1:5" x14ac:dyDescent="0.2">
      <c r="A555" s="1">
        <v>1107.3258658658699</v>
      </c>
      <c r="B555" s="1">
        <v>16709.371073699702</v>
      </c>
      <c r="C555" s="1"/>
      <c r="D555" s="1"/>
      <c r="E555" s="1" t="b">
        <f>tblTNFa[[#This Row],[NetMFI]]&gt;B554</f>
        <v>1</v>
      </c>
    </row>
    <row r="556" spans="1:5" x14ac:dyDescent="0.2">
      <c r="A556" s="1">
        <v>1109.3273773773799</v>
      </c>
      <c r="B556" s="1">
        <v>16711.035624413998</v>
      </c>
      <c r="C556" s="1"/>
      <c r="D556" s="1"/>
      <c r="E556" s="1" t="b">
        <f>tblTNFa[[#This Row],[NetMFI]]&gt;B555</f>
        <v>1</v>
      </c>
    </row>
    <row r="557" spans="1:5" x14ac:dyDescent="0.2">
      <c r="A557" s="1">
        <v>1111.3288888888901</v>
      </c>
      <c r="B557" s="1">
        <v>16712.693098702399</v>
      </c>
      <c r="C557" s="1"/>
      <c r="D557" s="1"/>
      <c r="E557" s="1" t="b">
        <f>tblTNFa[[#This Row],[NetMFI]]&gt;B556</f>
        <v>1</v>
      </c>
    </row>
    <row r="558" spans="1:5" x14ac:dyDescent="0.2">
      <c r="A558" s="1">
        <v>1113.3304004004001</v>
      </c>
      <c r="B558" s="1">
        <v>16714.3435384763</v>
      </c>
      <c r="C558" s="1"/>
      <c r="D558" s="1"/>
      <c r="E558" s="1" t="b">
        <f>tblTNFa[[#This Row],[NetMFI]]&gt;B557</f>
        <v>1</v>
      </c>
    </row>
    <row r="559" spans="1:5" x14ac:dyDescent="0.2">
      <c r="A559" s="1">
        <v>1115.3319119119101</v>
      </c>
      <c r="B559" s="1">
        <v>16715.986985329801</v>
      </c>
      <c r="C559" s="1"/>
      <c r="D559" s="1"/>
      <c r="E559" s="1" t="b">
        <f>tblTNFa[[#This Row],[NetMFI]]&gt;B558</f>
        <v>1</v>
      </c>
    </row>
    <row r="560" spans="1:5" x14ac:dyDescent="0.2">
      <c r="A560" s="1">
        <v>1117.3334234234201</v>
      </c>
      <c r="B560" s="1">
        <v>16717.623480542599</v>
      </c>
      <c r="C560" s="1"/>
      <c r="D560" s="1"/>
      <c r="E560" s="1" t="b">
        <f>tblTNFa[[#This Row],[NetMFI]]&gt;B559</f>
        <v>1</v>
      </c>
    </row>
    <row r="561" spans="1:5" x14ac:dyDescent="0.2">
      <c r="A561" s="1">
        <v>1119.3349349349401</v>
      </c>
      <c r="B561" s="1">
        <v>16719.253065082699</v>
      </c>
      <c r="C561" s="1"/>
      <c r="D561" s="1"/>
      <c r="E561" s="1" t="b">
        <f>tblTNFa[[#This Row],[NetMFI]]&gt;B560</f>
        <v>1</v>
      </c>
    </row>
    <row r="562" spans="1:5" x14ac:dyDescent="0.2">
      <c r="A562" s="1">
        <v>1121.3364464464501</v>
      </c>
      <c r="B562" s="1">
        <v>16720.875779609702</v>
      </c>
      <c r="C562" s="1"/>
      <c r="D562" s="1"/>
      <c r="E562" s="1" t="b">
        <f>tblTNFa[[#This Row],[NetMFI]]&gt;B561</f>
        <v>1</v>
      </c>
    </row>
    <row r="563" spans="1:5" x14ac:dyDescent="0.2">
      <c r="A563" s="1">
        <v>1123.33795795796</v>
      </c>
      <c r="B563" s="1">
        <v>16722.4916644773</v>
      </c>
      <c r="C563" s="1"/>
      <c r="D563" s="1"/>
      <c r="E563" s="1" t="b">
        <f>tblTNFa[[#This Row],[NetMFI]]&gt;B562</f>
        <v>1</v>
      </c>
    </row>
    <row r="564" spans="1:5" x14ac:dyDescent="0.2">
      <c r="A564" s="1">
        <v>1125.33946946947</v>
      </c>
      <c r="B564" s="1">
        <v>16724.100759736</v>
      </c>
      <c r="C564" s="1"/>
      <c r="D564" s="1"/>
      <c r="E564" s="1" t="b">
        <f>tblTNFa[[#This Row],[NetMFI]]&gt;B563</f>
        <v>1</v>
      </c>
    </row>
    <row r="565" spans="1:5" x14ac:dyDescent="0.2">
      <c r="A565" s="1">
        <v>1127.34098098098</v>
      </c>
      <c r="B565" s="1">
        <v>16725.703105136301</v>
      </c>
      <c r="C565" s="1"/>
      <c r="D565" s="1"/>
      <c r="E565" s="1" t="b">
        <f>tblTNFa[[#This Row],[NetMFI]]&gt;B564</f>
        <v>1</v>
      </c>
    </row>
    <row r="566" spans="1:5" x14ac:dyDescent="0.2">
      <c r="A566" s="1">
        <v>1129.34249249249</v>
      </c>
      <c r="B566" s="1">
        <v>16727.2987401311</v>
      </c>
      <c r="C566" s="1"/>
      <c r="D566" s="1"/>
      <c r="E566" s="1" t="b">
        <f>tblTNFa[[#This Row],[NetMFI]]&gt;B565</f>
        <v>1</v>
      </c>
    </row>
    <row r="567" spans="1:5" x14ac:dyDescent="0.2">
      <c r="A567" s="1">
        <v>1131.344004004</v>
      </c>
      <c r="B567" s="1">
        <v>16728.887703878299</v>
      </c>
      <c r="C567" s="1"/>
      <c r="D567" s="1"/>
      <c r="E567" s="1" t="b">
        <f>tblTNFa[[#This Row],[NetMFI]]&gt;B566</f>
        <v>1</v>
      </c>
    </row>
    <row r="568" spans="1:5" x14ac:dyDescent="0.2">
      <c r="A568" s="1">
        <v>1133.34551551552</v>
      </c>
      <c r="B568" s="1">
        <v>16730.470035243899</v>
      </c>
      <c r="C568" s="1"/>
      <c r="D568" s="1"/>
      <c r="E568" s="1" t="b">
        <f>tblTNFa[[#This Row],[NetMFI]]&gt;B567</f>
        <v>1</v>
      </c>
    </row>
    <row r="569" spans="1:5" x14ac:dyDescent="0.2">
      <c r="A569" s="1">
        <v>1135.34702702703</v>
      </c>
      <c r="B569" s="1">
        <v>16732.045772804198</v>
      </c>
      <c r="C569" s="1"/>
      <c r="D569" s="1"/>
      <c r="E569" s="1" t="b">
        <f>tblTNFa[[#This Row],[NetMFI]]&gt;B568</f>
        <v>1</v>
      </c>
    </row>
    <row r="570" spans="1:5" x14ac:dyDescent="0.2">
      <c r="A570" s="1">
        <v>1137.34853853854</v>
      </c>
      <c r="B570" s="1">
        <v>16733.614954848901</v>
      </c>
      <c r="C570" s="1"/>
      <c r="D570" s="1"/>
      <c r="E570" s="1" t="b">
        <f>tblTNFa[[#This Row],[NetMFI]]&gt;B569</f>
        <v>1</v>
      </c>
    </row>
    <row r="571" spans="1:5" x14ac:dyDescent="0.2">
      <c r="A571" s="1">
        <v>1139.35005005005</v>
      </c>
      <c r="B571" s="1">
        <v>16735.177619383001</v>
      </c>
      <c r="C571" s="1"/>
      <c r="D571" s="1"/>
      <c r="E571" s="1" t="b">
        <f>tblTNFa[[#This Row],[NetMFI]]&gt;B570</f>
        <v>1</v>
      </c>
    </row>
    <row r="572" spans="1:5" x14ac:dyDescent="0.2">
      <c r="A572" s="1">
        <v>1141.3515615615599</v>
      </c>
      <c r="B572" s="1">
        <v>16736.733804130101</v>
      </c>
      <c r="C572" s="1"/>
      <c r="D572" s="1"/>
      <c r="E572" s="1" t="b">
        <f>tblTNFa[[#This Row],[NetMFI]]&gt;B571</f>
        <v>1</v>
      </c>
    </row>
    <row r="573" spans="1:5" x14ac:dyDescent="0.2">
      <c r="A573" s="1">
        <v>1143.3530730730699</v>
      </c>
      <c r="B573" s="1">
        <v>16738.283546534502</v>
      </c>
      <c r="C573" s="1"/>
      <c r="D573" s="1"/>
      <c r="E573" s="1" t="b">
        <f>tblTNFa[[#This Row],[NetMFI]]&gt;B572</f>
        <v>1</v>
      </c>
    </row>
    <row r="574" spans="1:5" x14ac:dyDescent="0.2">
      <c r="A574" s="1">
        <v>1145.3545845845799</v>
      </c>
      <c r="B574" s="1">
        <v>16739.826883763999</v>
      </c>
      <c r="C574" s="1"/>
      <c r="D574" s="1"/>
      <c r="E574" s="1" t="b">
        <f>tblTNFa[[#This Row],[NetMFI]]&gt;B573</f>
        <v>1</v>
      </c>
    </row>
    <row r="575" spans="1:5" x14ac:dyDescent="0.2">
      <c r="A575" s="1">
        <v>1147.3560960960999</v>
      </c>
      <c r="B575" s="1">
        <v>16741.363852711798</v>
      </c>
      <c r="C575" s="1"/>
      <c r="D575" s="1"/>
      <c r="E575" s="1" t="b">
        <f>tblTNFa[[#This Row],[NetMFI]]&gt;B574</f>
        <v>1</v>
      </c>
    </row>
    <row r="576" spans="1:5" x14ac:dyDescent="0.2">
      <c r="A576" s="1">
        <v>1149.3576076076099</v>
      </c>
      <c r="B576" s="1">
        <v>16742.894489999901</v>
      </c>
      <c r="C576" s="1"/>
      <c r="D576" s="1"/>
      <c r="E576" s="1" t="b">
        <f>tblTNFa[[#This Row],[NetMFI]]&gt;B575</f>
        <v>1</v>
      </c>
    </row>
    <row r="577" spans="1:5" x14ac:dyDescent="0.2">
      <c r="A577" s="1">
        <v>1151.3591191191199</v>
      </c>
      <c r="B577" s="1">
        <v>16744.418831980602</v>
      </c>
      <c r="C577" s="1"/>
      <c r="D577" s="1"/>
      <c r="E577" s="1" t="b">
        <f>tblTNFa[[#This Row],[NetMFI]]&gt;B576</f>
        <v>1</v>
      </c>
    </row>
    <row r="578" spans="1:5" x14ac:dyDescent="0.2">
      <c r="A578" s="1">
        <v>1153.3606306306301</v>
      </c>
      <c r="B578" s="1">
        <v>16745.936914739399</v>
      </c>
      <c r="C578" s="1"/>
      <c r="D578" s="1"/>
      <c r="E578" s="1" t="b">
        <f>tblTNFa[[#This Row],[NetMFI]]&gt;B577</f>
        <v>1</v>
      </c>
    </row>
    <row r="579" spans="1:5" x14ac:dyDescent="0.2">
      <c r="A579" s="1">
        <v>1155.3621421421401</v>
      </c>
      <c r="B579" s="1">
        <v>16747.4487740974</v>
      </c>
      <c r="C579" s="1"/>
      <c r="D579" s="1"/>
      <c r="E579" s="1" t="b">
        <f>tblTNFa[[#This Row],[NetMFI]]&gt;B578</f>
        <v>1</v>
      </c>
    </row>
    <row r="580" spans="1:5" x14ac:dyDescent="0.2">
      <c r="A580" s="1">
        <v>1157.3636536536501</v>
      </c>
      <c r="B580" s="1">
        <v>16748.954445613501</v>
      </c>
      <c r="C580" s="1"/>
      <c r="D580" s="1"/>
      <c r="E580" s="1" t="b">
        <f>tblTNFa[[#This Row],[NetMFI]]&gt;B579</f>
        <v>1</v>
      </c>
    </row>
    <row r="581" spans="1:5" x14ac:dyDescent="0.2">
      <c r="A581" s="1">
        <v>1159.3651651651701</v>
      </c>
      <c r="B581" s="1">
        <v>16750.453964586701</v>
      </c>
      <c r="C581" s="1"/>
      <c r="D581" s="1"/>
      <c r="E581" s="1" t="b">
        <f>tblTNFa[[#This Row],[NetMFI]]&gt;B580</f>
        <v>1</v>
      </c>
    </row>
    <row r="582" spans="1:5" x14ac:dyDescent="0.2">
      <c r="A582" s="1">
        <v>1161.3666766766801</v>
      </c>
      <c r="B582" s="1">
        <v>16751.947366058601</v>
      </c>
      <c r="C582" s="1"/>
      <c r="D582" s="1"/>
      <c r="E582" s="1" t="b">
        <f>tblTNFa[[#This Row],[NetMFI]]&gt;B581</f>
        <v>1</v>
      </c>
    </row>
    <row r="583" spans="1:5" x14ac:dyDescent="0.2">
      <c r="A583" s="1">
        <v>1163.3681881881901</v>
      </c>
      <c r="B583" s="1">
        <v>16753.434684815398</v>
      </c>
      <c r="C583" s="1"/>
      <c r="D583" s="1"/>
      <c r="E583" s="1" t="b">
        <f>tblTNFa[[#This Row],[NetMFI]]&gt;B582</f>
        <v>1</v>
      </c>
    </row>
    <row r="584" spans="1:5" x14ac:dyDescent="0.2">
      <c r="A584" s="1">
        <v>1165.3696996997</v>
      </c>
      <c r="B584" s="1">
        <v>16754.915955390501</v>
      </c>
      <c r="C584" s="1"/>
      <c r="D584" s="1"/>
      <c r="E584" s="1" t="b">
        <f>tblTNFa[[#This Row],[NetMFI]]&gt;B583</f>
        <v>1</v>
      </c>
    </row>
    <row r="585" spans="1:5" x14ac:dyDescent="0.2">
      <c r="A585" s="1">
        <v>1167.37121121121</v>
      </c>
      <c r="B585" s="1">
        <v>16756.391212066599</v>
      </c>
      <c r="C585" s="1"/>
      <c r="D585" s="1"/>
      <c r="E585" s="1" t="b">
        <f>tblTNFa[[#This Row],[NetMFI]]&gt;B584</f>
        <v>1</v>
      </c>
    </row>
    <row r="586" spans="1:5" x14ac:dyDescent="0.2">
      <c r="A586" s="1">
        <v>1169.37272272272</v>
      </c>
      <c r="B586" s="1">
        <v>16757.860488877599</v>
      </c>
      <c r="C586" s="1"/>
      <c r="D586" s="1"/>
      <c r="E586" s="1" t="b">
        <f>tblTNFa[[#This Row],[NetMFI]]&gt;B585</f>
        <v>1</v>
      </c>
    </row>
    <row r="587" spans="1:5" x14ac:dyDescent="0.2">
      <c r="A587" s="1">
        <v>1171.37423423423</v>
      </c>
      <c r="B587" s="1">
        <v>16759.323819611302</v>
      </c>
      <c r="C587" s="1"/>
      <c r="D587" s="1"/>
      <c r="E587" s="1" t="b">
        <f>tblTNFa[[#This Row],[NetMFI]]&gt;B586</f>
        <v>1</v>
      </c>
    </row>
    <row r="588" spans="1:5" x14ac:dyDescent="0.2">
      <c r="A588" s="1">
        <v>1173.37574574575</v>
      </c>
      <c r="B588" s="1">
        <v>16760.781237811199</v>
      </c>
      <c r="C588" s="1"/>
      <c r="D588" s="1"/>
      <c r="E588" s="1" t="b">
        <f>tblTNFa[[#This Row],[NetMFI]]&gt;B587</f>
        <v>1</v>
      </c>
    </row>
    <row r="589" spans="1:5" x14ac:dyDescent="0.2">
      <c r="A589" s="1">
        <v>1175.37725725726</v>
      </c>
      <c r="B589" s="1">
        <v>16762.232776779001</v>
      </c>
      <c r="C589" s="1"/>
      <c r="D589" s="1"/>
      <c r="E589" s="1" t="b">
        <f>tblTNFa[[#This Row],[NetMFI]]&gt;B588</f>
        <v>1</v>
      </c>
    </row>
    <row r="590" spans="1:5" x14ac:dyDescent="0.2">
      <c r="A590" s="1">
        <v>1177.37876876877</v>
      </c>
      <c r="B590" s="1">
        <v>16763.678469576302</v>
      </c>
      <c r="C590" s="1"/>
      <c r="D590" s="1"/>
      <c r="E590" s="1" t="b">
        <f>tblTNFa[[#This Row],[NetMFI]]&gt;B589</f>
        <v>1</v>
      </c>
    </row>
    <row r="591" spans="1:5" x14ac:dyDescent="0.2">
      <c r="A591" s="1">
        <v>1179.38028028028</v>
      </c>
      <c r="B591" s="1">
        <v>16765.118349026801</v>
      </c>
      <c r="C591" s="1"/>
      <c r="D591" s="1"/>
      <c r="E591" s="1" t="b">
        <f>tblTNFa[[#This Row],[NetMFI]]&gt;B590</f>
        <v>1</v>
      </c>
    </row>
    <row r="592" spans="1:5" x14ac:dyDescent="0.2">
      <c r="A592" s="1">
        <v>1181.38179179179</v>
      </c>
      <c r="B592" s="1">
        <v>16766.552447718699</v>
      </c>
      <c r="C592" s="1"/>
      <c r="D592" s="1"/>
      <c r="E592" s="1" t="b">
        <f>tblTNFa[[#This Row],[NetMFI]]&gt;B591</f>
        <v>1</v>
      </c>
    </row>
    <row r="593" spans="1:5" x14ac:dyDescent="0.2">
      <c r="A593" s="1">
        <v>1183.3833033033</v>
      </c>
      <c r="B593" s="1">
        <v>16767.9807980066</v>
      </c>
      <c r="C593" s="1"/>
      <c r="D593" s="1"/>
      <c r="E593" s="1" t="b">
        <f>tblTNFa[[#This Row],[NetMFI]]&gt;B592</f>
        <v>1</v>
      </c>
    </row>
    <row r="594" spans="1:5" x14ac:dyDescent="0.2">
      <c r="A594" s="1">
        <v>1185.3848148148099</v>
      </c>
      <c r="B594" s="1">
        <v>16769.4034320131</v>
      </c>
      <c r="C594" s="1"/>
      <c r="D594" s="1"/>
      <c r="E594" s="1" t="b">
        <f>tblTNFa[[#This Row],[NetMFI]]&gt;B593</f>
        <v>1</v>
      </c>
    </row>
    <row r="595" spans="1:5" x14ac:dyDescent="0.2">
      <c r="A595" s="1">
        <v>1187.3863263263299</v>
      </c>
      <c r="B595" s="1">
        <v>16770.8203816315</v>
      </c>
      <c r="C595" s="1"/>
      <c r="D595" s="1"/>
      <c r="E595" s="1" t="b">
        <f>tblTNFa[[#This Row],[NetMFI]]&gt;B594</f>
        <v>1</v>
      </c>
    </row>
    <row r="596" spans="1:5" x14ac:dyDescent="0.2">
      <c r="A596" s="1">
        <v>1189.3878378378399</v>
      </c>
      <c r="B596" s="1">
        <v>16772.2316785275</v>
      </c>
      <c r="C596" s="1"/>
      <c r="D596" s="1"/>
      <c r="E596" s="1" t="b">
        <f>tblTNFa[[#This Row],[NetMFI]]&gt;B595</f>
        <v>1</v>
      </c>
    </row>
    <row r="597" spans="1:5" x14ac:dyDescent="0.2">
      <c r="A597" s="1">
        <v>1191.3893493493499</v>
      </c>
      <c r="B597" s="1">
        <v>16773.637354140901</v>
      </c>
      <c r="C597" s="1"/>
      <c r="D597" s="1"/>
      <c r="E597" s="1" t="b">
        <f>tblTNFa[[#This Row],[NetMFI]]&gt;B596</f>
        <v>1</v>
      </c>
    </row>
    <row r="598" spans="1:5" x14ac:dyDescent="0.2">
      <c r="A598" s="1">
        <v>1193.3908608608599</v>
      </c>
      <c r="B598" s="1">
        <v>16775.037439688102</v>
      </c>
      <c r="C598" s="1"/>
      <c r="D598" s="1"/>
      <c r="E598" s="1" t="b">
        <f>tblTNFa[[#This Row],[NetMFI]]&gt;B597</f>
        <v>1</v>
      </c>
    </row>
    <row r="599" spans="1:5" x14ac:dyDescent="0.2">
      <c r="A599" s="1">
        <v>1195.3923723723699</v>
      </c>
      <c r="B599" s="1">
        <v>16776.4319661636</v>
      </c>
      <c r="C599" s="1"/>
      <c r="D599" s="1"/>
      <c r="E599" s="1" t="b">
        <f>tblTNFa[[#This Row],[NetMFI]]&gt;B598</f>
        <v>1</v>
      </c>
    </row>
    <row r="600" spans="1:5" x14ac:dyDescent="0.2">
      <c r="A600" s="1">
        <v>1197.3938838838801</v>
      </c>
      <c r="B600" s="1">
        <v>16777.820964342001</v>
      </c>
      <c r="C600" s="1"/>
      <c r="D600" s="1"/>
      <c r="E600" s="1" t="b">
        <f>tblTNFa[[#This Row],[NetMFI]]&gt;B599</f>
        <v>1</v>
      </c>
    </row>
    <row r="601" spans="1:5" x14ac:dyDescent="0.2">
      <c r="A601" s="1">
        <v>1199.3953953954001</v>
      </c>
      <c r="B601" s="1">
        <v>16779.204464780101</v>
      </c>
      <c r="C601" s="1"/>
      <c r="D601" s="1"/>
      <c r="E601" s="1" t="b">
        <f>tblTNFa[[#This Row],[NetMFI]]&gt;B600</f>
        <v>1</v>
      </c>
    </row>
    <row r="602" spans="1:5" x14ac:dyDescent="0.2">
      <c r="A602" s="1">
        <v>1201.3969069069101</v>
      </c>
      <c r="B602" s="1">
        <v>16780.582497818501</v>
      </c>
      <c r="C602" s="1"/>
      <c r="D602" s="1"/>
      <c r="E602" s="1" t="b">
        <f>tblTNFa[[#This Row],[NetMFI]]&gt;B601</f>
        <v>1</v>
      </c>
    </row>
    <row r="603" spans="1:5" x14ac:dyDescent="0.2">
      <c r="A603" s="1">
        <v>1203.3984184184201</v>
      </c>
      <c r="B603" s="1">
        <v>16781.955093583801</v>
      </c>
      <c r="C603" s="1"/>
      <c r="D603" s="1"/>
      <c r="E603" s="1" t="b">
        <f>tblTNFa[[#This Row],[NetMFI]]&gt;B602</f>
        <v>1</v>
      </c>
    </row>
    <row r="604" spans="1:5" x14ac:dyDescent="0.2">
      <c r="A604" s="1">
        <v>1205.3999299299301</v>
      </c>
      <c r="B604" s="1">
        <v>16783.32228199</v>
      </c>
      <c r="C604" s="1"/>
      <c r="D604" s="1"/>
      <c r="E604" s="1" t="b">
        <f>tblTNFa[[#This Row],[NetMFI]]&gt;B603</f>
        <v>1</v>
      </c>
    </row>
    <row r="605" spans="1:5" x14ac:dyDescent="0.2">
      <c r="A605" s="1">
        <v>1207.4014414414401</v>
      </c>
      <c r="B605" s="1">
        <v>16784.684092740699</v>
      </c>
      <c r="C605" s="1"/>
      <c r="D605" s="1"/>
      <c r="E605" s="1" t="b">
        <f>tblTNFa[[#This Row],[NetMFI]]&gt;B604</f>
        <v>1</v>
      </c>
    </row>
    <row r="606" spans="1:5" x14ac:dyDescent="0.2">
      <c r="A606" s="1">
        <v>1209.40295295295</v>
      </c>
      <c r="B606" s="1">
        <v>16786.040555330601</v>
      </c>
      <c r="C606" s="1"/>
      <c r="D606" s="1"/>
      <c r="E606" s="1" t="b">
        <f>tblTNFa[[#This Row],[NetMFI]]&gt;B605</f>
        <v>1</v>
      </c>
    </row>
    <row r="607" spans="1:5" x14ac:dyDescent="0.2">
      <c r="A607" s="1">
        <v>1211.40446446446</v>
      </c>
      <c r="B607" s="1">
        <v>16787.391699047599</v>
      </c>
      <c r="C607" s="1"/>
      <c r="D607" s="1"/>
      <c r="E607" s="1" t="b">
        <f>tblTNFa[[#This Row],[NetMFI]]&gt;B606</f>
        <v>1</v>
      </c>
    </row>
    <row r="608" spans="1:5" x14ac:dyDescent="0.2">
      <c r="A608" s="1">
        <v>1213.40597597598</v>
      </c>
      <c r="B608" s="1">
        <v>16788.7375529743</v>
      </c>
      <c r="C608" s="1"/>
      <c r="D608" s="1"/>
      <c r="E608" s="1" t="b">
        <f>tblTNFa[[#This Row],[NetMFI]]&gt;B607</f>
        <v>1</v>
      </c>
    </row>
    <row r="609" spans="1:5" x14ac:dyDescent="0.2">
      <c r="A609" s="1">
        <v>1215.40748748749</v>
      </c>
      <c r="B609" s="1">
        <v>16790.078145989999</v>
      </c>
      <c r="C609" s="1"/>
      <c r="D609" s="1"/>
      <c r="E609" s="1" t="b">
        <f>tblTNFa[[#This Row],[NetMFI]]&gt;B608</f>
        <v>1</v>
      </c>
    </row>
    <row r="610" spans="1:5" x14ac:dyDescent="0.2">
      <c r="A610" s="1">
        <v>1217.408998999</v>
      </c>
      <c r="B610" s="1">
        <v>16791.413506772002</v>
      </c>
      <c r="C610" s="1"/>
      <c r="D610" s="1"/>
      <c r="E610" s="1" t="b">
        <f>tblTNFa[[#This Row],[NetMFI]]&gt;B609</f>
        <v>1</v>
      </c>
    </row>
    <row r="611" spans="1:5" x14ac:dyDescent="0.2">
      <c r="A611" s="1">
        <v>1219.41051051051</v>
      </c>
      <c r="B611" s="1">
        <v>16792.743663797901</v>
      </c>
      <c r="C611" s="1"/>
      <c r="D611" s="1"/>
      <c r="E611" s="1" t="b">
        <f>tblTNFa[[#This Row],[NetMFI]]&gt;B610</f>
        <v>1</v>
      </c>
    </row>
    <row r="612" spans="1:5" x14ac:dyDescent="0.2">
      <c r="A612" s="1">
        <v>1221.41202202202</v>
      </c>
      <c r="B612" s="1">
        <v>16794.068645346699</v>
      </c>
      <c r="C612" s="1"/>
      <c r="D612" s="1"/>
      <c r="E612" s="1" t="b">
        <f>tblTNFa[[#This Row],[NetMFI]]&gt;B611</f>
        <v>1</v>
      </c>
    </row>
    <row r="613" spans="1:5" x14ac:dyDescent="0.2">
      <c r="A613" s="1">
        <v>1223.41353353353</v>
      </c>
      <c r="B613" s="1">
        <v>16795.3884795009</v>
      </c>
      <c r="C613" s="1"/>
      <c r="D613" s="1"/>
      <c r="E613" s="1" t="b">
        <f>tblTNFa[[#This Row],[NetMFI]]&gt;B612</f>
        <v>1</v>
      </c>
    </row>
    <row r="614" spans="1:5" x14ac:dyDescent="0.2">
      <c r="A614" s="1">
        <v>1225.41504504505</v>
      </c>
      <c r="B614" s="1">
        <v>16796.703194148198</v>
      </c>
      <c r="C614" s="1"/>
      <c r="D614" s="1"/>
      <c r="E614" s="1" t="b">
        <f>tblTNFa[[#This Row],[NetMFI]]&gt;B613</f>
        <v>1</v>
      </c>
    </row>
    <row r="615" spans="1:5" x14ac:dyDescent="0.2">
      <c r="A615" s="1">
        <v>1227.41655655656</v>
      </c>
      <c r="B615" s="1">
        <v>16798.0128169827</v>
      </c>
      <c r="C615" s="1"/>
      <c r="D615" s="1"/>
      <c r="E615" s="1" t="b">
        <f>tblTNFa[[#This Row],[NetMFI]]&gt;B614</f>
        <v>1</v>
      </c>
    </row>
    <row r="616" spans="1:5" x14ac:dyDescent="0.2">
      <c r="A616" s="1">
        <v>1229.4180680680699</v>
      </c>
      <c r="B616" s="1">
        <v>16799.317375506998</v>
      </c>
      <c r="C616" s="1"/>
      <c r="D616" s="1"/>
      <c r="E616" s="1" t="b">
        <f>tblTNFa[[#This Row],[NetMFI]]&gt;B615</f>
        <v>1</v>
      </c>
    </row>
    <row r="617" spans="1:5" x14ac:dyDescent="0.2">
      <c r="A617" s="1">
        <v>1231.4195795795799</v>
      </c>
      <c r="B617" s="1">
        <v>16800.616897033498</v>
      </c>
      <c r="C617" s="1"/>
      <c r="D617" s="1"/>
      <c r="E617" s="1" t="b">
        <f>tblTNFa[[#This Row],[NetMFI]]&gt;B616</f>
        <v>1</v>
      </c>
    </row>
    <row r="618" spans="1:5" x14ac:dyDescent="0.2">
      <c r="A618" s="1">
        <v>1233.4210910910899</v>
      </c>
      <c r="B618" s="1">
        <v>16801.911408686101</v>
      </c>
      <c r="C618" s="1"/>
      <c r="D618" s="1"/>
      <c r="E618" s="1" t="b">
        <f>tblTNFa[[#This Row],[NetMFI]]&gt;B617</f>
        <v>1</v>
      </c>
    </row>
    <row r="619" spans="1:5" x14ac:dyDescent="0.2">
      <c r="A619" s="1">
        <v>1235.4226026025999</v>
      </c>
      <c r="B619" s="1">
        <v>16803.200937402002</v>
      </c>
      <c r="C619" s="1"/>
      <c r="D619" s="1"/>
      <c r="E619" s="1" t="b">
        <f>tblTNFa[[#This Row],[NetMFI]]&gt;B618</f>
        <v>1</v>
      </c>
    </row>
    <row r="620" spans="1:5" x14ac:dyDescent="0.2">
      <c r="A620" s="1">
        <v>1237.4241141141099</v>
      </c>
      <c r="B620" s="1">
        <v>16804.4855099327</v>
      </c>
      <c r="C620" s="1"/>
      <c r="D620" s="1"/>
      <c r="E620" s="1" t="b">
        <f>tblTNFa[[#This Row],[NetMFI]]&gt;B619</f>
        <v>1</v>
      </c>
    </row>
    <row r="621" spans="1:5" x14ac:dyDescent="0.2">
      <c r="A621" s="1">
        <v>1239.4256256256299</v>
      </c>
      <c r="B621" s="1">
        <v>16805.765152846401</v>
      </c>
      <c r="C621" s="1"/>
      <c r="D621" s="1"/>
      <c r="E621" s="1" t="b">
        <f>tblTNFa[[#This Row],[NetMFI]]&gt;B620</f>
        <v>1</v>
      </c>
    </row>
    <row r="622" spans="1:5" x14ac:dyDescent="0.2">
      <c r="A622" s="1">
        <v>1241.4271371371401</v>
      </c>
      <c r="B622" s="1">
        <v>16807.039892528501</v>
      </c>
      <c r="C622" s="1"/>
      <c r="D622" s="1"/>
      <c r="E622" s="1" t="b">
        <f>tblTNFa[[#This Row],[NetMFI]]&gt;B621</f>
        <v>1</v>
      </c>
    </row>
    <row r="623" spans="1:5" x14ac:dyDescent="0.2">
      <c r="A623" s="1">
        <v>1243.4286486486501</v>
      </c>
      <c r="B623" s="1">
        <v>16808.3097551842</v>
      </c>
      <c r="C623" s="1"/>
      <c r="D623" s="1"/>
      <c r="E623" s="1" t="b">
        <f>tblTNFa[[#This Row],[NetMFI]]&gt;B622</f>
        <v>1</v>
      </c>
    </row>
    <row r="624" spans="1:5" x14ac:dyDescent="0.2">
      <c r="A624" s="1">
        <v>1245.4301601601601</v>
      </c>
      <c r="B624" s="1">
        <v>16809.5747668392</v>
      </c>
      <c r="C624" s="1"/>
      <c r="D624" s="1"/>
      <c r="E624" s="1" t="b">
        <f>tblTNFa[[#This Row],[NetMFI]]&gt;B623</f>
        <v>1</v>
      </c>
    </row>
    <row r="625" spans="1:5" x14ac:dyDescent="0.2">
      <c r="A625" s="1">
        <v>1247.4316716716701</v>
      </c>
      <c r="B625" s="1">
        <v>16810.8349533414</v>
      </c>
      <c r="C625" s="1"/>
      <c r="D625" s="1"/>
      <c r="E625" s="1" t="b">
        <f>tblTNFa[[#This Row],[NetMFI]]&gt;B624</f>
        <v>1</v>
      </c>
    </row>
    <row r="626" spans="1:5" x14ac:dyDescent="0.2">
      <c r="A626" s="1">
        <v>1249.4331831831801</v>
      </c>
      <c r="B626" s="1">
        <v>16812.0903403626</v>
      </c>
      <c r="C626" s="1"/>
      <c r="D626" s="1"/>
      <c r="E626" s="1" t="b">
        <f>tblTNFa[[#This Row],[NetMFI]]&gt;B625</f>
        <v>1</v>
      </c>
    </row>
    <row r="627" spans="1:5" x14ac:dyDescent="0.2">
      <c r="A627" s="1">
        <v>1251.4346946946901</v>
      </c>
      <c r="B627" s="1">
        <v>16813.3409533997</v>
      </c>
      <c r="C627" s="1"/>
      <c r="D627" s="1"/>
      <c r="E627" s="1" t="b">
        <f>tblTNFa[[#This Row],[NetMFI]]&gt;B626</f>
        <v>1</v>
      </c>
    </row>
    <row r="628" spans="1:5" x14ac:dyDescent="0.2">
      <c r="A628" s="1">
        <v>1253.43620620621</v>
      </c>
      <c r="B628" s="1">
        <v>16814.586817776399</v>
      </c>
      <c r="C628" s="1"/>
      <c r="D628" s="1"/>
      <c r="E628" s="1" t="b">
        <f>tblTNFa[[#This Row],[NetMFI]]&gt;B627</f>
        <v>1</v>
      </c>
    </row>
    <row r="629" spans="1:5" x14ac:dyDescent="0.2">
      <c r="A629" s="1">
        <v>1255.43771771772</v>
      </c>
      <c r="B629" s="1">
        <v>16815.827958644299</v>
      </c>
      <c r="C629" s="1"/>
      <c r="D629" s="1"/>
      <c r="E629" s="1" t="b">
        <f>tblTNFa[[#This Row],[NetMFI]]&gt;B628</f>
        <v>1</v>
      </c>
    </row>
    <row r="630" spans="1:5" x14ac:dyDescent="0.2">
      <c r="A630" s="1">
        <v>1257.43922922923</v>
      </c>
      <c r="B630" s="1">
        <v>16817.0644009846</v>
      </c>
      <c r="C630" s="1"/>
      <c r="D630" s="1"/>
      <c r="E630" s="1" t="b">
        <f>tblTNFa[[#This Row],[NetMFI]]&gt;B629</f>
        <v>1</v>
      </c>
    </row>
    <row r="631" spans="1:5" x14ac:dyDescent="0.2">
      <c r="A631" s="1">
        <v>1259.44074074074</v>
      </c>
      <c r="B631" s="1">
        <v>16818.296169609399</v>
      </c>
      <c r="C631" s="1"/>
      <c r="D631" s="1"/>
      <c r="E631" s="1" t="b">
        <f>tblTNFa[[#This Row],[NetMFI]]&gt;B630</f>
        <v>1</v>
      </c>
    </row>
    <row r="632" spans="1:5" x14ac:dyDescent="0.2">
      <c r="A632" s="1">
        <v>1261.44225225225</v>
      </c>
      <c r="B632" s="1">
        <v>16819.523289163099</v>
      </c>
      <c r="C632" s="1"/>
      <c r="D632" s="1"/>
      <c r="E632" s="1" t="b">
        <f>tblTNFa[[#This Row],[NetMFI]]&gt;B631</f>
        <v>1</v>
      </c>
    </row>
    <row r="633" spans="1:5" x14ac:dyDescent="0.2">
      <c r="A633" s="1">
        <v>1263.44376376376</v>
      </c>
      <c r="B633" s="1">
        <v>16820.745784123901</v>
      </c>
      <c r="C633" s="1"/>
      <c r="D633" s="1"/>
      <c r="E633" s="1" t="b">
        <f>tblTNFa[[#This Row],[NetMFI]]&gt;B632</f>
        <v>1</v>
      </c>
    </row>
    <row r="634" spans="1:5" x14ac:dyDescent="0.2">
      <c r="A634" s="1">
        <v>1265.44527527528</v>
      </c>
      <c r="B634" s="1">
        <v>16821.963678804699</v>
      </c>
      <c r="C634" s="1"/>
      <c r="D634" s="1"/>
      <c r="E634" s="1" t="b">
        <f>tblTNFa[[#This Row],[NetMFI]]&gt;B633</f>
        <v>1</v>
      </c>
    </row>
    <row r="635" spans="1:5" x14ac:dyDescent="0.2">
      <c r="A635" s="1">
        <v>1267.44678678679</v>
      </c>
      <c r="B635" s="1">
        <v>16823.176997355298</v>
      </c>
      <c r="C635" s="1"/>
      <c r="D635" s="1"/>
      <c r="E635" s="1" t="b">
        <f>tblTNFa[[#This Row],[NetMFI]]&gt;B634</f>
        <v>1</v>
      </c>
    </row>
    <row r="636" spans="1:5" x14ac:dyDescent="0.2">
      <c r="A636" s="1">
        <v>1269.4482982983</v>
      </c>
      <c r="B636" s="1">
        <v>16824.385763762701</v>
      </c>
      <c r="C636" s="1"/>
      <c r="D636" s="1"/>
      <c r="E636" s="1" t="b">
        <f>tblTNFa[[#This Row],[NetMFI]]&gt;B635</f>
        <v>1</v>
      </c>
    </row>
    <row r="637" spans="1:5" x14ac:dyDescent="0.2">
      <c r="A637" s="1">
        <v>1271.4498098098099</v>
      </c>
      <c r="B637" s="1">
        <v>16825.590001853499</v>
      </c>
      <c r="C637" s="1"/>
      <c r="D637" s="1"/>
      <c r="E637" s="1" t="b">
        <f>tblTNFa[[#This Row],[NetMFI]]&gt;B636</f>
        <v>1</v>
      </c>
    </row>
    <row r="638" spans="1:5" x14ac:dyDescent="0.2">
      <c r="A638" s="1">
        <v>1273.4513213213199</v>
      </c>
      <c r="B638" s="1">
        <v>16826.7897352941</v>
      </c>
      <c r="C638" s="1"/>
      <c r="D638" s="1"/>
      <c r="E638" s="1" t="b">
        <f>tblTNFa[[#This Row],[NetMFI]]&gt;B637</f>
        <v>1</v>
      </c>
    </row>
    <row r="639" spans="1:5" x14ac:dyDescent="0.2">
      <c r="A639" s="1">
        <v>1275.4528328328299</v>
      </c>
      <c r="B639" s="1">
        <v>16827.984987593201</v>
      </c>
      <c r="C639" s="1"/>
      <c r="D639" s="1"/>
      <c r="E639" s="1" t="b">
        <f>tblTNFa[[#This Row],[NetMFI]]&gt;B638</f>
        <v>1</v>
      </c>
    </row>
    <row r="640" spans="1:5" x14ac:dyDescent="0.2">
      <c r="A640" s="1">
        <v>1277.4543443443399</v>
      </c>
      <c r="B640" s="1">
        <v>16829.175782101898</v>
      </c>
      <c r="C640" s="1"/>
      <c r="D640" s="1"/>
      <c r="E640" s="1" t="b">
        <f>tblTNFa[[#This Row],[NetMFI]]&gt;B639</f>
        <v>1</v>
      </c>
    </row>
    <row r="641" spans="1:5" x14ac:dyDescent="0.2">
      <c r="A641" s="1">
        <v>1279.4558558558599</v>
      </c>
      <c r="B641" s="1">
        <v>16830.3621420159</v>
      </c>
      <c r="C641" s="1"/>
      <c r="D641" s="1"/>
      <c r="E641" s="1" t="b">
        <f>tblTNFa[[#This Row],[NetMFI]]&gt;B640</f>
        <v>1</v>
      </c>
    </row>
    <row r="642" spans="1:5" x14ac:dyDescent="0.2">
      <c r="A642" s="1">
        <v>1281.4573673673699</v>
      </c>
      <c r="B642" s="1">
        <v>16831.544090376199</v>
      </c>
      <c r="C642" s="1"/>
      <c r="D642" s="1"/>
      <c r="E642" s="1" t="b">
        <f>tblTNFa[[#This Row],[NetMFI]]&gt;B641</f>
        <v>1</v>
      </c>
    </row>
    <row r="643" spans="1:5" x14ac:dyDescent="0.2">
      <c r="A643" s="1">
        <v>1283.4588788788799</v>
      </c>
      <c r="B643" s="1">
        <v>16832.721650070798</v>
      </c>
      <c r="C643" s="1"/>
      <c r="D643" s="1"/>
      <c r="E643" s="1" t="b">
        <f>tblTNFa[[#This Row],[NetMFI]]&gt;B642</f>
        <v>1</v>
      </c>
    </row>
    <row r="644" spans="1:5" x14ac:dyDescent="0.2">
      <c r="A644" s="1">
        <v>1285.4603903903901</v>
      </c>
      <c r="B644" s="1">
        <v>16833.8948438355</v>
      </c>
      <c r="C644" s="1"/>
      <c r="D644" s="1"/>
      <c r="E644" s="1" t="b">
        <f>tblTNFa[[#This Row],[NetMFI]]&gt;B643</f>
        <v>1</v>
      </c>
    </row>
    <row r="645" spans="1:5" x14ac:dyDescent="0.2">
      <c r="A645" s="1">
        <v>1287.4619019019001</v>
      </c>
      <c r="B645" s="1">
        <v>16835.063694255299</v>
      </c>
      <c r="C645" s="1"/>
      <c r="D645" s="1"/>
      <c r="E645" s="1" t="b">
        <f>tblTNFa[[#This Row],[NetMFI]]&gt;B644</f>
        <v>1</v>
      </c>
    </row>
    <row r="646" spans="1:5" x14ac:dyDescent="0.2">
      <c r="A646" s="1">
        <v>1289.4634134134101</v>
      </c>
      <c r="B646" s="1">
        <v>16836.2282237658</v>
      </c>
      <c r="C646" s="1"/>
      <c r="D646" s="1"/>
      <c r="E646" s="1" t="b">
        <f>tblTNFa[[#This Row],[NetMFI]]&gt;B645</f>
        <v>1</v>
      </c>
    </row>
    <row r="647" spans="1:5" x14ac:dyDescent="0.2">
      <c r="A647" s="1">
        <v>1291.4649249249301</v>
      </c>
      <c r="B647" s="1">
        <v>16837.388454654101</v>
      </c>
      <c r="C647" s="1"/>
      <c r="D647" s="1"/>
      <c r="E647" s="1" t="b">
        <f>tblTNFa[[#This Row],[NetMFI]]&gt;B646</f>
        <v>1</v>
      </c>
    </row>
    <row r="648" spans="1:5" x14ac:dyDescent="0.2">
      <c r="A648" s="1">
        <v>1293.4664364364401</v>
      </c>
      <c r="B648" s="1">
        <v>16838.5444090602</v>
      </c>
      <c r="C648" s="1"/>
      <c r="D648" s="1"/>
      <c r="E648" s="1" t="b">
        <f>tblTNFa[[#This Row],[NetMFI]]&gt;B647</f>
        <v>1</v>
      </c>
    </row>
    <row r="649" spans="1:5" x14ac:dyDescent="0.2">
      <c r="A649" s="1">
        <v>1295.4679479479501</v>
      </c>
      <c r="B649" s="1">
        <v>16839.696108978202</v>
      </c>
      <c r="C649" s="1"/>
      <c r="D649" s="1"/>
      <c r="E649" s="1" t="b">
        <f>tblTNFa[[#This Row],[NetMFI]]&gt;B648</f>
        <v>1</v>
      </c>
    </row>
    <row r="650" spans="1:5" x14ac:dyDescent="0.2">
      <c r="A650" s="1">
        <v>1297.46945945946</v>
      </c>
      <c r="B650" s="1">
        <v>16840.843576257201</v>
      </c>
      <c r="C650" s="1"/>
      <c r="D650" s="1"/>
      <c r="E650" s="1" t="b">
        <f>tblTNFa[[#This Row],[NetMFI]]&gt;B649</f>
        <v>1</v>
      </c>
    </row>
    <row r="651" spans="1:5" x14ac:dyDescent="0.2">
      <c r="A651" s="1">
        <v>1299.47097097097</v>
      </c>
      <c r="B651" s="1">
        <v>16841.986832602899</v>
      </c>
      <c r="C651" s="1"/>
      <c r="D651" s="1"/>
      <c r="E651" s="1" t="b">
        <f>tblTNFa[[#This Row],[NetMFI]]&gt;B650</f>
        <v>1</v>
      </c>
    </row>
    <row r="652" spans="1:5" x14ac:dyDescent="0.2">
      <c r="A652" s="1">
        <v>1301.47248248248</v>
      </c>
      <c r="B652" s="1">
        <v>16843.125899578201</v>
      </c>
      <c r="C652" s="1"/>
      <c r="D652" s="1"/>
      <c r="E652" s="1" t="b">
        <f>tblTNFa[[#This Row],[NetMFI]]&gt;B651</f>
        <v>1</v>
      </c>
    </row>
    <row r="653" spans="1:5" x14ac:dyDescent="0.2">
      <c r="A653" s="1">
        <v>1303.47399399399</v>
      </c>
      <c r="B653" s="1">
        <v>16844.260798604901</v>
      </c>
      <c r="C653" s="1"/>
      <c r="D653" s="1"/>
      <c r="E653" s="1" t="b">
        <f>tblTNFa[[#This Row],[NetMFI]]&gt;B652</f>
        <v>1</v>
      </c>
    </row>
    <row r="654" spans="1:5" x14ac:dyDescent="0.2">
      <c r="A654" s="1">
        <v>1305.47550550551</v>
      </c>
      <c r="B654" s="1">
        <v>16845.391550964501</v>
      </c>
      <c r="C654" s="1"/>
      <c r="D654" s="1"/>
      <c r="E654" s="1" t="b">
        <f>tblTNFa[[#This Row],[NetMFI]]&gt;B653</f>
        <v>1</v>
      </c>
    </row>
    <row r="655" spans="1:5" x14ac:dyDescent="0.2">
      <c r="A655" s="1">
        <v>1307.47701701702</v>
      </c>
      <c r="B655" s="1">
        <v>16846.518177799298</v>
      </c>
      <c r="C655" s="1"/>
      <c r="D655" s="1"/>
      <c r="E655" s="1" t="b">
        <f>tblTNFa[[#This Row],[NetMFI]]&gt;B654</f>
        <v>1</v>
      </c>
    </row>
    <row r="656" spans="1:5" x14ac:dyDescent="0.2">
      <c r="A656" s="1">
        <v>1309.47852852853</v>
      </c>
      <c r="B656" s="1">
        <v>16847.640700113701</v>
      </c>
      <c r="C656" s="1"/>
      <c r="D656" s="1"/>
      <c r="E656" s="1" t="b">
        <f>tblTNFa[[#This Row],[NetMFI]]&gt;B655</f>
        <v>1</v>
      </c>
    </row>
    <row r="657" spans="1:5" x14ac:dyDescent="0.2">
      <c r="A657" s="1">
        <v>1311.48004004004</v>
      </c>
      <c r="B657" s="1">
        <v>16848.759138775</v>
      </c>
      <c r="C657" s="1"/>
      <c r="D657" s="1"/>
      <c r="E657" s="1" t="b">
        <f>tblTNFa[[#This Row],[NetMFI]]&gt;B656</f>
        <v>1</v>
      </c>
    </row>
    <row r="658" spans="1:5" x14ac:dyDescent="0.2">
      <c r="A658" s="1">
        <v>1313.48155155155</v>
      </c>
      <c r="B658" s="1">
        <v>16849.873514514999</v>
      </c>
      <c r="C658" s="1"/>
      <c r="D658" s="1"/>
      <c r="E658" s="1" t="b">
        <f>tblTNFa[[#This Row],[NetMFI]]&gt;B657</f>
        <v>1</v>
      </c>
    </row>
    <row r="659" spans="1:5" x14ac:dyDescent="0.2">
      <c r="A659" s="1">
        <v>1315.4830630630599</v>
      </c>
      <c r="B659" s="1">
        <v>16850.9838479303</v>
      </c>
      <c r="C659" s="1"/>
      <c r="D659" s="1"/>
      <c r="E659" s="1" t="b">
        <f>tblTNFa[[#This Row],[NetMFI]]&gt;B658</f>
        <v>1</v>
      </c>
    </row>
    <row r="660" spans="1:5" x14ac:dyDescent="0.2">
      <c r="A660" s="1">
        <v>1317.4845745745699</v>
      </c>
      <c r="B660" s="1">
        <v>16852.090159484302</v>
      </c>
      <c r="C660" s="1"/>
      <c r="D660" s="1"/>
      <c r="E660" s="1" t="b">
        <f>tblTNFa[[#This Row],[NetMFI]]&gt;B659</f>
        <v>1</v>
      </c>
    </row>
    <row r="661" spans="1:5" x14ac:dyDescent="0.2">
      <c r="A661" s="1">
        <v>1319.4860860860899</v>
      </c>
      <c r="B661" s="1">
        <v>16853.192469507499</v>
      </c>
      <c r="C661" s="1"/>
      <c r="D661" s="1"/>
      <c r="E661" s="1" t="b">
        <f>tblTNFa[[#This Row],[NetMFI]]&gt;B660</f>
        <v>1</v>
      </c>
    </row>
    <row r="662" spans="1:5" x14ac:dyDescent="0.2">
      <c r="A662" s="1">
        <v>1321.4875975975999</v>
      </c>
      <c r="B662" s="1">
        <v>16854.290798198701</v>
      </c>
      <c r="C662" s="1"/>
      <c r="D662" s="1"/>
      <c r="E662" s="1" t="b">
        <f>tblTNFa[[#This Row],[NetMFI]]&gt;B661</f>
        <v>1</v>
      </c>
    </row>
    <row r="663" spans="1:5" x14ac:dyDescent="0.2">
      <c r="A663" s="1">
        <v>1323.4891091091099</v>
      </c>
      <c r="B663" s="1">
        <v>16855.385165626401</v>
      </c>
      <c r="C663" s="1"/>
      <c r="D663" s="1"/>
      <c r="E663" s="1" t="b">
        <f>tblTNFa[[#This Row],[NetMFI]]&gt;B662</f>
        <v>1</v>
      </c>
    </row>
    <row r="664" spans="1:5" x14ac:dyDescent="0.2">
      <c r="A664" s="1">
        <v>1325.4906206206199</v>
      </c>
      <c r="B664" s="1">
        <v>16856.475591729399</v>
      </c>
      <c r="C664" s="1"/>
      <c r="D664" s="1"/>
      <c r="E664" s="1" t="b">
        <f>tblTNFa[[#This Row],[NetMFI]]&gt;B663</f>
        <v>1</v>
      </c>
    </row>
    <row r="665" spans="1:5" x14ac:dyDescent="0.2">
      <c r="A665" s="1">
        <v>1327.4921321321301</v>
      </c>
      <c r="B665" s="1">
        <v>16857.562096318201</v>
      </c>
      <c r="C665" s="1"/>
      <c r="D665" s="1"/>
      <c r="E665" s="1" t="b">
        <f>tblTNFa[[#This Row],[NetMFI]]&gt;B664</f>
        <v>1</v>
      </c>
    </row>
    <row r="666" spans="1:5" x14ac:dyDescent="0.2">
      <c r="A666" s="1">
        <v>1329.4936436436401</v>
      </c>
      <c r="B666" s="1">
        <v>16858.644699075499</v>
      </c>
      <c r="C666" s="1"/>
      <c r="D666" s="1"/>
      <c r="E666" s="1" t="b">
        <f>tblTNFa[[#This Row],[NetMFI]]&gt;B665</f>
        <v>1</v>
      </c>
    </row>
    <row r="667" spans="1:5" x14ac:dyDescent="0.2">
      <c r="A667" s="1">
        <v>1331.4951551551601</v>
      </c>
      <c r="B667" s="1">
        <v>16859.723419557798</v>
      </c>
      <c r="C667" s="1"/>
      <c r="D667" s="1"/>
      <c r="E667" s="1" t="b">
        <f>tblTNFa[[#This Row],[NetMFI]]&gt;B666</f>
        <v>1</v>
      </c>
    </row>
    <row r="668" spans="1:5" x14ac:dyDescent="0.2">
      <c r="A668" s="1">
        <v>1333.4966666666701</v>
      </c>
      <c r="B668" s="1">
        <v>16860.798277196001</v>
      </c>
      <c r="C668" s="1"/>
      <c r="D668" s="1"/>
      <c r="E668" s="1" t="b">
        <f>tblTNFa[[#This Row],[NetMFI]]&gt;B667</f>
        <v>1</v>
      </c>
    </row>
    <row r="669" spans="1:5" x14ac:dyDescent="0.2">
      <c r="A669" s="1">
        <v>1335.4981781781801</v>
      </c>
      <c r="B669" s="1">
        <v>16861.869291296302</v>
      </c>
      <c r="C669" s="1"/>
      <c r="D669" s="1"/>
      <c r="E669" s="1" t="b">
        <f>tblTNFa[[#This Row],[NetMFI]]&gt;B668</f>
        <v>1</v>
      </c>
    </row>
    <row r="670" spans="1:5" x14ac:dyDescent="0.2">
      <c r="A670" s="1">
        <v>1337.4996896896901</v>
      </c>
      <c r="B670" s="1">
        <v>16862.936481041499</v>
      </c>
      <c r="C670" s="1"/>
      <c r="D670" s="1"/>
      <c r="E670" s="1" t="b">
        <f>tblTNFa[[#This Row],[NetMFI]]&gt;B669</f>
        <v>1</v>
      </c>
    </row>
    <row r="671" spans="1:5" x14ac:dyDescent="0.2">
      <c r="A671" s="1">
        <v>1339.5012012012</v>
      </c>
      <c r="B671" s="1">
        <v>16863.999865491802</v>
      </c>
      <c r="C671" s="1"/>
      <c r="D671" s="1"/>
      <c r="E671" s="1" t="b">
        <f>tblTNFa[[#This Row],[NetMFI]]&gt;B670</f>
        <v>1</v>
      </c>
    </row>
    <row r="672" spans="1:5" x14ac:dyDescent="0.2">
      <c r="A672" s="1">
        <v>1341.50271271271</v>
      </c>
      <c r="B672" s="1">
        <v>16865.0594635858</v>
      </c>
      <c r="C672" s="1"/>
      <c r="D672" s="1"/>
      <c r="E672" s="1" t="b">
        <f>tblTNFa[[#This Row],[NetMFI]]&gt;B671</f>
        <v>1</v>
      </c>
    </row>
    <row r="673" spans="1:5" x14ac:dyDescent="0.2">
      <c r="A673" s="1">
        <v>1343.50422422422</v>
      </c>
      <c r="B673" s="1">
        <v>16866.1152941412</v>
      </c>
      <c r="C673" s="1"/>
      <c r="D673" s="1"/>
      <c r="E673" s="1" t="b">
        <f>tblTNFa[[#This Row],[NetMFI]]&gt;B672</f>
        <v>1</v>
      </c>
    </row>
    <row r="674" spans="1:5" x14ac:dyDescent="0.2">
      <c r="A674" s="1">
        <v>1345.50573573574</v>
      </c>
      <c r="B674" s="1">
        <v>16867.167375856199</v>
      </c>
      <c r="C674" s="1"/>
      <c r="D674" s="1"/>
      <c r="E674" s="1" t="b">
        <f>tblTNFa[[#This Row],[NetMFI]]&gt;B673</f>
        <v>1</v>
      </c>
    </row>
    <row r="675" spans="1:5" x14ac:dyDescent="0.2">
      <c r="A675" s="1">
        <v>1347.50724724725</v>
      </c>
      <c r="B675" s="1">
        <v>16868.215727309998</v>
      </c>
      <c r="C675" s="1"/>
      <c r="D675" s="1"/>
      <c r="E675" s="1" t="b">
        <f>tblTNFa[[#This Row],[NetMFI]]&gt;B674</f>
        <v>1</v>
      </c>
    </row>
    <row r="676" spans="1:5" x14ac:dyDescent="0.2">
      <c r="A676" s="1">
        <v>1349.50875875876</v>
      </c>
      <c r="B676" s="1">
        <v>16869.260366963899</v>
      </c>
      <c r="C676" s="1"/>
      <c r="D676" s="1"/>
      <c r="E676" s="1" t="b">
        <f>tblTNFa[[#This Row],[NetMFI]]&gt;B675</f>
        <v>1</v>
      </c>
    </row>
    <row r="677" spans="1:5" x14ac:dyDescent="0.2">
      <c r="A677" s="1">
        <v>1351.51027027027</v>
      </c>
      <c r="B677" s="1">
        <v>16870.301313162199</v>
      </c>
      <c r="C677" s="1"/>
      <c r="D677" s="1"/>
      <c r="E677" s="1" t="b">
        <f>tblTNFa[[#This Row],[NetMFI]]&gt;B676</f>
        <v>1</v>
      </c>
    </row>
    <row r="678" spans="1:5" x14ac:dyDescent="0.2">
      <c r="A678" s="1">
        <v>1353.51178178178</v>
      </c>
      <c r="B678" s="1">
        <v>16871.338584133198</v>
      </c>
      <c r="C678" s="1"/>
      <c r="D678" s="1"/>
      <c r="E678" s="1" t="b">
        <f>tblTNFa[[#This Row],[NetMFI]]&gt;B677</f>
        <v>1</v>
      </c>
    </row>
    <row r="679" spans="1:5" x14ac:dyDescent="0.2">
      <c r="A679" s="1">
        <v>1355.51329329329</v>
      </c>
      <c r="B679" s="1">
        <v>16872.3721979898</v>
      </c>
      <c r="C679" s="1"/>
      <c r="D679" s="1"/>
      <c r="E679" s="1" t="b">
        <f>tblTNFa[[#This Row],[NetMFI]]&gt;B678</f>
        <v>1</v>
      </c>
    </row>
    <row r="680" spans="1:5" x14ac:dyDescent="0.2">
      <c r="A680" s="1">
        <v>1357.5148048048</v>
      </c>
      <c r="B680" s="1">
        <v>16873.402172730799</v>
      </c>
      <c r="C680" s="1"/>
      <c r="D680" s="1"/>
      <c r="E680" s="1" t="b">
        <f>tblTNFa[[#This Row],[NetMFI]]&gt;B679</f>
        <v>1</v>
      </c>
    </row>
    <row r="681" spans="1:5" x14ac:dyDescent="0.2">
      <c r="A681" s="1">
        <v>1359.5163163163199</v>
      </c>
      <c r="B681" s="1">
        <v>16874.4285262413</v>
      </c>
      <c r="C681" s="1"/>
      <c r="D681" s="1"/>
      <c r="E681" s="1" t="b">
        <f>tblTNFa[[#This Row],[NetMFI]]&gt;B680</f>
        <v>1</v>
      </c>
    </row>
    <row r="682" spans="1:5" x14ac:dyDescent="0.2">
      <c r="A682" s="1">
        <v>1361.5178278278299</v>
      </c>
      <c r="B682" s="1">
        <v>16875.451276294101</v>
      </c>
      <c r="C682" s="1"/>
      <c r="D682" s="1"/>
      <c r="E682" s="1" t="b">
        <f>tblTNFa[[#This Row],[NetMFI]]&gt;B681</f>
        <v>1</v>
      </c>
    </row>
    <row r="683" spans="1:5" x14ac:dyDescent="0.2">
      <c r="A683" s="1">
        <v>1363.5193393393399</v>
      </c>
      <c r="B683" s="1">
        <v>16876.4704405501</v>
      </c>
      <c r="C683" s="1"/>
      <c r="D683" s="1"/>
      <c r="E683" s="1" t="b">
        <f>tblTNFa[[#This Row],[NetMFI]]&gt;B682</f>
        <v>1</v>
      </c>
    </row>
    <row r="684" spans="1:5" x14ac:dyDescent="0.2">
      <c r="A684" s="1">
        <v>1365.5208508508499</v>
      </c>
      <c r="B684" s="1">
        <v>16877.4860365594</v>
      </c>
      <c r="C684" s="1"/>
      <c r="D684" s="1"/>
      <c r="E684" s="1" t="b">
        <f>tblTNFa[[#This Row],[NetMFI]]&gt;B683</f>
        <v>1</v>
      </c>
    </row>
    <row r="685" spans="1:5" x14ac:dyDescent="0.2">
      <c r="A685" s="1">
        <v>1367.5223623623599</v>
      </c>
      <c r="B685" s="1">
        <v>16878.4980817621</v>
      </c>
      <c r="C685" s="1"/>
      <c r="D685" s="1"/>
      <c r="E685" s="1" t="b">
        <f>tblTNFa[[#This Row],[NetMFI]]&gt;B684</f>
        <v>1</v>
      </c>
    </row>
    <row r="686" spans="1:5" x14ac:dyDescent="0.2">
      <c r="A686" s="1">
        <v>1369.5238738738699</v>
      </c>
      <c r="B686" s="1">
        <v>16879.506593489099</v>
      </c>
      <c r="C686" s="1"/>
      <c r="D686" s="1"/>
      <c r="E686" s="1" t="b">
        <f>tblTNFa[[#This Row],[NetMFI]]&gt;B685</f>
        <v>1</v>
      </c>
    </row>
    <row r="687" spans="1:5" x14ac:dyDescent="0.2">
      <c r="A687" s="1">
        <v>1371.5253853853901</v>
      </c>
      <c r="B687" s="1">
        <v>16880.511588962901</v>
      </c>
      <c r="C687" s="1"/>
      <c r="D687" s="1"/>
      <c r="E687" s="1" t="b">
        <f>tblTNFa[[#This Row],[NetMFI]]&gt;B686</f>
        <v>1</v>
      </c>
    </row>
    <row r="688" spans="1:5" x14ac:dyDescent="0.2">
      <c r="A688" s="1">
        <v>1373.5268968969001</v>
      </c>
      <c r="B688" s="1">
        <v>16881.5130852988</v>
      </c>
      <c r="C688" s="1"/>
      <c r="D688" s="1"/>
      <c r="E688" s="1" t="b">
        <f>tblTNFa[[#This Row],[NetMFI]]&gt;B687</f>
        <v>1</v>
      </c>
    </row>
    <row r="689" spans="1:5" x14ac:dyDescent="0.2">
      <c r="A689" s="1">
        <v>1375.5284084084101</v>
      </c>
      <c r="B689" s="1">
        <v>16882.5110995049</v>
      </c>
      <c r="C689" s="1"/>
      <c r="D689" s="1"/>
      <c r="E689" s="1" t="b">
        <f>tblTNFa[[#This Row],[NetMFI]]&gt;B688</f>
        <v>1</v>
      </c>
    </row>
    <row r="690" spans="1:5" x14ac:dyDescent="0.2">
      <c r="A690" s="1">
        <v>1377.5299199199201</v>
      </c>
      <c r="B690" s="1">
        <v>16883.505648483799</v>
      </c>
      <c r="C690" s="1"/>
      <c r="D690" s="1"/>
      <c r="E690" s="1" t="b">
        <f>tblTNFa[[#This Row],[NetMFI]]&gt;B689</f>
        <v>1</v>
      </c>
    </row>
    <row r="691" spans="1:5" x14ac:dyDescent="0.2">
      <c r="A691" s="1">
        <v>1379.5314314314301</v>
      </c>
      <c r="B691" s="1">
        <v>16884.496749032998</v>
      </c>
      <c r="C691" s="1"/>
      <c r="D691" s="1"/>
      <c r="E691" s="1" t="b">
        <f>tblTNFa[[#This Row],[NetMFI]]&gt;B690</f>
        <v>1</v>
      </c>
    </row>
    <row r="692" spans="1:5" x14ac:dyDescent="0.2">
      <c r="A692" s="1">
        <v>1381.5329429429401</v>
      </c>
      <c r="B692" s="1">
        <v>16885.4844178454</v>
      </c>
      <c r="C692" s="1"/>
      <c r="D692" s="1"/>
      <c r="E692" s="1" t="b">
        <f>tblTNFa[[#This Row],[NetMFI]]&gt;B691</f>
        <v>1</v>
      </c>
    </row>
    <row r="693" spans="1:5" x14ac:dyDescent="0.2">
      <c r="A693" s="1">
        <v>1383.53445445445</v>
      </c>
      <c r="B693" s="1">
        <v>16886.468671510698</v>
      </c>
      <c r="C693" s="1"/>
      <c r="D693" s="1"/>
      <c r="E693" s="1" t="b">
        <f>tblTNFa[[#This Row],[NetMFI]]&gt;B692</f>
        <v>1</v>
      </c>
    </row>
    <row r="694" spans="1:5" x14ac:dyDescent="0.2">
      <c r="A694" s="1">
        <v>1385.53596596597</v>
      </c>
      <c r="B694" s="1">
        <v>16887.449526515698</v>
      </c>
      <c r="C694" s="1"/>
      <c r="D694" s="1"/>
      <c r="E694" s="1" t="b">
        <f>tblTNFa[[#This Row],[NetMFI]]&gt;B693</f>
        <v>1</v>
      </c>
    </row>
    <row r="695" spans="1:5" x14ac:dyDescent="0.2">
      <c r="A695" s="1">
        <v>1387.53747747748</v>
      </c>
      <c r="B695" s="1">
        <v>16888.426999245501</v>
      </c>
      <c r="C695" s="1"/>
      <c r="D695" s="1"/>
      <c r="E695" s="1" t="b">
        <f>tblTNFa[[#This Row],[NetMFI]]&gt;B694</f>
        <v>1</v>
      </c>
    </row>
    <row r="696" spans="1:5" x14ac:dyDescent="0.2">
      <c r="A696" s="1">
        <v>1389.53898898899</v>
      </c>
      <c r="B696" s="1">
        <v>16889.401105983699</v>
      </c>
      <c r="C696" s="1"/>
      <c r="D696" s="1"/>
      <c r="E696" s="1" t="b">
        <f>tblTNFa[[#This Row],[NetMFI]]&gt;B695</f>
        <v>1</v>
      </c>
    </row>
    <row r="697" spans="1:5" x14ac:dyDescent="0.2">
      <c r="A697" s="1">
        <v>1391.5405005005</v>
      </c>
      <c r="B697" s="1">
        <v>16890.371862913598</v>
      </c>
      <c r="C697" s="1"/>
      <c r="D697" s="1"/>
      <c r="E697" s="1" t="b">
        <f>tblTNFa[[#This Row],[NetMFI]]&gt;B696</f>
        <v>1</v>
      </c>
    </row>
    <row r="698" spans="1:5" x14ac:dyDescent="0.2">
      <c r="A698" s="1">
        <v>1393.54201201201</v>
      </c>
      <c r="B698" s="1">
        <v>16891.339286119099</v>
      </c>
      <c r="C698" s="1"/>
      <c r="D698" s="1"/>
      <c r="E698" s="1" t="b">
        <f>tblTNFa[[#This Row],[NetMFI]]&gt;B697</f>
        <v>1</v>
      </c>
    </row>
    <row r="699" spans="1:5" x14ac:dyDescent="0.2">
      <c r="A699" s="1">
        <v>1395.54352352352</v>
      </c>
      <c r="B699" s="1">
        <v>16892.303391584599</v>
      </c>
      <c r="C699" s="1"/>
      <c r="D699" s="1"/>
      <c r="E699" s="1" t="b">
        <f>tblTNFa[[#This Row],[NetMFI]]&gt;B698</f>
        <v>1</v>
      </c>
    </row>
    <row r="700" spans="1:5" x14ac:dyDescent="0.2">
      <c r="A700" s="1">
        <v>1397.54503503504</v>
      </c>
      <c r="B700" s="1">
        <v>16893.264195197</v>
      </c>
      <c r="C700" s="1"/>
      <c r="D700" s="1"/>
      <c r="E700" s="1" t="b">
        <f>tblTNFa[[#This Row],[NetMFI]]&gt;B699</f>
        <v>1</v>
      </c>
    </row>
    <row r="701" spans="1:5" x14ac:dyDescent="0.2">
      <c r="A701" s="1">
        <v>1399.54654654655</v>
      </c>
      <c r="B701" s="1">
        <v>16894.221712745199</v>
      </c>
      <c r="C701" s="1"/>
      <c r="D701" s="1"/>
      <c r="E701" s="1" t="b">
        <f>tblTNFa[[#This Row],[NetMFI]]&gt;B700</f>
        <v>1</v>
      </c>
    </row>
    <row r="702" spans="1:5" x14ac:dyDescent="0.2">
      <c r="A702" s="1">
        <v>1401.54805805806</v>
      </c>
      <c r="B702" s="1">
        <v>16895.175959921598</v>
      </c>
      <c r="C702" s="1"/>
      <c r="D702" s="1"/>
      <c r="E702" s="1" t="b">
        <f>tblTNFa[[#This Row],[NetMFI]]&gt;B701</f>
        <v>1</v>
      </c>
    </row>
    <row r="703" spans="1:5" x14ac:dyDescent="0.2">
      <c r="A703" s="1">
        <v>1403.5495695695699</v>
      </c>
      <c r="B703" s="1">
        <v>16896.1269523228</v>
      </c>
      <c r="C703" s="1"/>
      <c r="D703" s="1"/>
      <c r="E703" s="1" t="b">
        <f>tblTNFa[[#This Row],[NetMFI]]&gt;B702</f>
        <v>1</v>
      </c>
    </row>
    <row r="704" spans="1:5" x14ac:dyDescent="0.2">
      <c r="A704" s="1">
        <v>1405.5510810810799</v>
      </c>
      <c r="B704" s="1">
        <v>16897.074705449799</v>
      </c>
      <c r="C704" s="1"/>
      <c r="D704" s="1"/>
      <c r="E704" s="1" t="b">
        <f>tblTNFa[[#This Row],[NetMFI]]&gt;B703</f>
        <v>1</v>
      </c>
    </row>
    <row r="705" spans="1:5" x14ac:dyDescent="0.2">
      <c r="A705" s="1">
        <v>1407.5525925925899</v>
      </c>
      <c r="B705" s="1">
        <v>16898.0192347091</v>
      </c>
      <c r="C705" s="1"/>
      <c r="D705" s="1"/>
      <c r="E705" s="1" t="b">
        <f>tblTNFa[[#This Row],[NetMFI]]&gt;B704</f>
        <v>1</v>
      </c>
    </row>
    <row r="706" spans="1:5" x14ac:dyDescent="0.2">
      <c r="A706" s="1">
        <v>1409.5541041040999</v>
      </c>
      <c r="B706" s="1">
        <v>16898.9605554136</v>
      </c>
      <c r="C706" s="1"/>
      <c r="D706" s="1"/>
      <c r="E706" s="1" t="b">
        <f>tblTNFa[[#This Row],[NetMFI]]&gt;B705</f>
        <v>1</v>
      </c>
    </row>
    <row r="707" spans="1:5" x14ac:dyDescent="0.2">
      <c r="A707" s="1">
        <v>1411.5556156156199</v>
      </c>
      <c r="B707" s="1">
        <v>16899.898682782601</v>
      </c>
      <c r="C707" s="1"/>
      <c r="D707" s="1"/>
      <c r="E707" s="1" t="b">
        <f>tblTNFa[[#This Row],[NetMFI]]&gt;B706</f>
        <v>1</v>
      </c>
    </row>
    <row r="708" spans="1:5" x14ac:dyDescent="0.2">
      <c r="A708" s="1">
        <v>1413.5571271271299</v>
      </c>
      <c r="B708" s="1">
        <v>16900.833631943198</v>
      </c>
      <c r="C708" s="1"/>
      <c r="D708" s="1"/>
      <c r="E708" s="1" t="b">
        <f>tblTNFa[[#This Row],[NetMFI]]&gt;B707</f>
        <v>1</v>
      </c>
    </row>
    <row r="709" spans="1:5" x14ac:dyDescent="0.2">
      <c r="A709" s="1">
        <v>1415.5586386386401</v>
      </c>
      <c r="B709" s="1">
        <v>16901.765417930601</v>
      </c>
      <c r="C709" s="1"/>
      <c r="D709" s="1"/>
      <c r="E709" s="1" t="b">
        <f>tblTNFa[[#This Row],[NetMFI]]&gt;B708</f>
        <v>1</v>
      </c>
    </row>
    <row r="710" spans="1:5" x14ac:dyDescent="0.2">
      <c r="A710" s="1">
        <v>1417.5601501501501</v>
      </c>
      <c r="B710" s="1">
        <v>16902.694055689099</v>
      </c>
      <c r="C710" s="1"/>
      <c r="D710" s="1"/>
      <c r="E710" s="1" t="b">
        <f>tblTNFa[[#This Row],[NetMFI]]&gt;B709</f>
        <v>1</v>
      </c>
    </row>
    <row r="711" spans="1:5" x14ac:dyDescent="0.2">
      <c r="A711" s="1">
        <v>1419.5616616616601</v>
      </c>
      <c r="B711" s="1">
        <v>16903.6195600721</v>
      </c>
      <c r="C711" s="1"/>
      <c r="D711" s="1"/>
      <c r="E711" s="1" t="b">
        <f>tblTNFa[[#This Row],[NetMFI]]&gt;B710</f>
        <v>1</v>
      </c>
    </row>
    <row r="712" spans="1:5" x14ac:dyDescent="0.2">
      <c r="A712" s="1">
        <v>1421.5631731731701</v>
      </c>
      <c r="B712" s="1">
        <v>16904.541945843699</v>
      </c>
      <c r="C712" s="1"/>
      <c r="D712" s="1"/>
      <c r="E712" s="1" t="b">
        <f>tblTNFa[[#This Row],[NetMFI]]&gt;B711</f>
        <v>1</v>
      </c>
    </row>
    <row r="713" spans="1:5" x14ac:dyDescent="0.2">
      <c r="A713" s="1">
        <v>1423.5646846846801</v>
      </c>
      <c r="B713" s="1">
        <v>16905.461227678501</v>
      </c>
      <c r="C713" s="1"/>
      <c r="D713" s="1"/>
      <c r="E713" s="1" t="b">
        <f>tblTNFa[[#This Row],[NetMFI]]&gt;B712</f>
        <v>1</v>
      </c>
    </row>
    <row r="714" spans="1:5" x14ac:dyDescent="0.2">
      <c r="A714" s="1">
        <v>1425.5661961962001</v>
      </c>
      <c r="B714" s="1">
        <v>16906.377420162898</v>
      </c>
      <c r="C714" s="1"/>
      <c r="D714" s="1"/>
      <c r="E714" s="1" t="b">
        <f>tblTNFa[[#This Row],[NetMFI]]&gt;B713</f>
        <v>1</v>
      </c>
    </row>
    <row r="715" spans="1:5" x14ac:dyDescent="0.2">
      <c r="A715" s="1">
        <v>1427.56770770771</v>
      </c>
      <c r="B715" s="1">
        <v>16907.290537795299</v>
      </c>
      <c r="C715" s="1"/>
      <c r="D715" s="1"/>
      <c r="E715" s="1" t="b">
        <f>tblTNFa[[#This Row],[NetMFI]]&gt;B714</f>
        <v>1</v>
      </c>
    </row>
    <row r="716" spans="1:5" x14ac:dyDescent="0.2">
      <c r="A716" s="1">
        <v>1429.56921921922</v>
      </c>
      <c r="B716" s="1">
        <v>16908.200594987</v>
      </c>
      <c r="C716" s="1"/>
      <c r="D716" s="1"/>
      <c r="E716" s="1" t="b">
        <f>tblTNFa[[#This Row],[NetMFI]]&gt;B715</f>
        <v>1</v>
      </c>
    </row>
    <row r="717" spans="1:5" x14ac:dyDescent="0.2">
      <c r="A717" s="1">
        <v>1431.57073073073</v>
      </c>
      <c r="B717" s="1">
        <v>16909.1076060628</v>
      </c>
      <c r="C717" s="1"/>
      <c r="D717" s="1"/>
      <c r="E717" s="1" t="b">
        <f>tblTNFa[[#This Row],[NetMFI]]&gt;B716</f>
        <v>1</v>
      </c>
    </row>
    <row r="718" spans="1:5" x14ac:dyDescent="0.2">
      <c r="A718" s="1">
        <v>1433.57224224224</v>
      </c>
      <c r="B718" s="1">
        <v>16910.011585261698</v>
      </c>
      <c r="C718" s="1"/>
      <c r="D718" s="1"/>
      <c r="E718" s="1" t="b">
        <f>tblTNFa[[#This Row],[NetMFI]]&gt;B717</f>
        <v>1</v>
      </c>
    </row>
    <row r="719" spans="1:5" x14ac:dyDescent="0.2">
      <c r="A719" s="1">
        <v>1435.57375375375</v>
      </c>
      <c r="B719" s="1">
        <v>16910.912546737</v>
      </c>
      <c r="C719" s="1"/>
      <c r="D719" s="1"/>
      <c r="E719" s="1" t="b">
        <f>tblTNFa[[#This Row],[NetMFI]]&gt;B718</f>
        <v>1</v>
      </c>
    </row>
    <row r="720" spans="1:5" x14ac:dyDescent="0.2">
      <c r="A720" s="1">
        <v>1437.57526526527</v>
      </c>
      <c r="B720" s="1">
        <v>16911.8105045579</v>
      </c>
      <c r="C720" s="1"/>
      <c r="D720" s="1"/>
      <c r="E720" s="1" t="b">
        <f>tblTNFa[[#This Row],[NetMFI]]&gt;B719</f>
        <v>1</v>
      </c>
    </row>
    <row r="721" spans="1:5" x14ac:dyDescent="0.2">
      <c r="A721" s="1">
        <v>1439.57677677678</v>
      </c>
      <c r="B721" s="1">
        <v>16912.705472709102</v>
      </c>
      <c r="C721" s="1"/>
      <c r="D721" s="1"/>
      <c r="E721" s="1" t="b">
        <f>tblTNFa[[#This Row],[NetMFI]]&gt;B720</f>
        <v>1</v>
      </c>
    </row>
    <row r="722" spans="1:5" x14ac:dyDescent="0.2">
      <c r="A722" s="1">
        <v>1441.57828828829</v>
      </c>
      <c r="B722" s="1">
        <v>16913.5974650922</v>
      </c>
      <c r="C722" s="1"/>
      <c r="D722" s="1"/>
      <c r="E722" s="1" t="b">
        <f>tblTNFa[[#This Row],[NetMFI]]&gt;B721</f>
        <v>1</v>
      </c>
    </row>
    <row r="723" spans="1:5" x14ac:dyDescent="0.2">
      <c r="A723" s="1">
        <v>1443.5797997998</v>
      </c>
      <c r="B723" s="1">
        <v>16914.486495525802</v>
      </c>
      <c r="C723" s="1"/>
      <c r="D723" s="1"/>
      <c r="E723" s="1" t="b">
        <f>tblTNFa[[#This Row],[NetMFI]]&gt;B722</f>
        <v>1</v>
      </c>
    </row>
    <row r="724" spans="1:5" x14ac:dyDescent="0.2">
      <c r="A724" s="1">
        <v>1445.5813113113099</v>
      </c>
      <c r="B724" s="1">
        <v>16915.372577746301</v>
      </c>
      <c r="C724" s="1"/>
      <c r="D724" s="1"/>
      <c r="E724" s="1" t="b">
        <f>tblTNFa[[#This Row],[NetMFI]]&gt;B723</f>
        <v>1</v>
      </c>
    </row>
    <row r="725" spans="1:5" x14ac:dyDescent="0.2">
      <c r="A725" s="1">
        <v>1447.5828228228199</v>
      </c>
      <c r="B725" s="1">
        <v>16916.255725408599</v>
      </c>
      <c r="C725" s="1"/>
      <c r="D725" s="1"/>
      <c r="E725" s="1" t="b">
        <f>tblTNFa[[#This Row],[NetMFI]]&gt;B724</f>
        <v>1</v>
      </c>
    </row>
    <row r="726" spans="1:5" x14ac:dyDescent="0.2">
      <c r="A726" s="1">
        <v>1449.5843343343299</v>
      </c>
      <c r="B726" s="1">
        <v>16917.135952086399</v>
      </c>
      <c r="C726" s="1"/>
      <c r="D726" s="1"/>
      <c r="E726" s="1" t="b">
        <f>tblTNFa[[#This Row],[NetMFI]]&gt;B725</f>
        <v>1</v>
      </c>
    </row>
    <row r="727" spans="1:5" x14ac:dyDescent="0.2">
      <c r="A727" s="1">
        <v>1451.5858458458499</v>
      </c>
      <c r="B727" s="1">
        <v>16918.013271273001</v>
      </c>
      <c r="C727" s="1"/>
      <c r="D727" s="1"/>
      <c r="E727" s="1" t="b">
        <f>tblTNFa[[#This Row],[NetMFI]]&gt;B726</f>
        <v>1</v>
      </c>
    </row>
    <row r="728" spans="1:5" x14ac:dyDescent="0.2">
      <c r="A728" s="1">
        <v>1453.5873573573599</v>
      </c>
      <c r="B728" s="1">
        <v>16918.887696381898</v>
      </c>
      <c r="C728" s="1"/>
      <c r="D728" s="1"/>
      <c r="E728" s="1" t="b">
        <f>tblTNFa[[#This Row],[NetMFI]]&gt;B727</f>
        <v>1</v>
      </c>
    </row>
    <row r="729" spans="1:5" x14ac:dyDescent="0.2">
      <c r="A729" s="1">
        <v>1455.5888688688699</v>
      </c>
      <c r="B729" s="1">
        <v>16919.759240747298</v>
      </c>
      <c r="C729" s="1"/>
      <c r="D729" s="1"/>
      <c r="E729" s="1" t="b">
        <f>tblTNFa[[#This Row],[NetMFI]]&gt;B728</f>
        <v>1</v>
      </c>
    </row>
    <row r="730" spans="1:5" x14ac:dyDescent="0.2">
      <c r="A730" s="1">
        <v>1457.5903803803801</v>
      </c>
      <c r="B730" s="1">
        <v>16920.627917624599</v>
      </c>
      <c r="C730" s="1"/>
      <c r="D730" s="1"/>
      <c r="E730" s="1" t="b">
        <f>tblTNFa[[#This Row],[NetMFI]]&gt;B729</f>
        <v>1</v>
      </c>
    </row>
    <row r="731" spans="1:5" x14ac:dyDescent="0.2">
      <c r="A731" s="1">
        <v>1459.5918918918901</v>
      </c>
      <c r="B731" s="1">
        <v>16921.493740191101</v>
      </c>
      <c r="C731" s="1"/>
      <c r="D731" s="1"/>
      <c r="E731" s="1" t="b">
        <f>tblTNFa[[#This Row],[NetMFI]]&gt;B730</f>
        <v>1</v>
      </c>
    </row>
    <row r="732" spans="1:5" x14ac:dyDescent="0.2">
      <c r="A732" s="1">
        <v>1461.5934034034001</v>
      </c>
      <c r="B732" s="1">
        <v>16922.356721546501</v>
      </c>
      <c r="C732" s="1"/>
      <c r="D732" s="1"/>
      <c r="E732" s="1" t="b">
        <f>tblTNFa[[#This Row],[NetMFI]]&gt;B731</f>
        <v>1</v>
      </c>
    </row>
    <row r="733" spans="1:5" x14ac:dyDescent="0.2">
      <c r="A733" s="1">
        <v>1463.5949149149201</v>
      </c>
      <c r="B733" s="1">
        <v>16923.216874713398</v>
      </c>
      <c r="C733" s="1"/>
      <c r="D733" s="1"/>
      <c r="E733" s="1" t="b">
        <f>tblTNFa[[#This Row],[NetMFI]]&gt;B732</f>
        <v>1</v>
      </c>
    </row>
    <row r="734" spans="1:5" x14ac:dyDescent="0.2">
      <c r="A734" s="1">
        <v>1465.5964264264301</v>
      </c>
      <c r="B734" s="1">
        <v>16924.074212637999</v>
      </c>
      <c r="C734" s="1"/>
      <c r="D734" s="1"/>
      <c r="E734" s="1" t="b">
        <f>tblTNFa[[#This Row],[NetMFI]]&gt;B733</f>
        <v>1</v>
      </c>
    </row>
    <row r="735" spans="1:5" x14ac:dyDescent="0.2">
      <c r="A735" s="1">
        <v>1467.5979379379401</v>
      </c>
      <c r="B735" s="1">
        <v>16924.928748190599</v>
      </c>
      <c r="C735" s="1"/>
      <c r="D735" s="1"/>
      <c r="E735" s="1" t="b">
        <f>tblTNFa[[#This Row],[NetMFI]]&gt;B734</f>
        <v>1</v>
      </c>
    </row>
    <row r="736" spans="1:5" x14ac:dyDescent="0.2">
      <c r="A736" s="1">
        <v>1469.59944944945</v>
      </c>
      <c r="B736" s="1">
        <v>16925.780494166</v>
      </c>
      <c r="C736" s="1"/>
      <c r="D736" s="1"/>
      <c r="E736" s="1" t="b">
        <f>tblTNFa[[#This Row],[NetMFI]]&gt;B735</f>
        <v>1</v>
      </c>
    </row>
    <row r="737" spans="1:5" x14ac:dyDescent="0.2">
      <c r="A737" s="1">
        <v>1471.60096096096</v>
      </c>
      <c r="B737" s="1">
        <v>16926.629463284102</v>
      </c>
      <c r="C737" s="1"/>
      <c r="D737" s="1"/>
      <c r="E737" s="1" t="b">
        <f>tblTNFa[[#This Row],[NetMFI]]&gt;B736</f>
        <v>1</v>
      </c>
    </row>
    <row r="738" spans="1:5" x14ac:dyDescent="0.2">
      <c r="A738" s="1">
        <v>1473.60247247247</v>
      </c>
      <c r="B738" s="1">
        <v>16927.475668190698</v>
      </c>
      <c r="C738" s="1"/>
      <c r="D738" s="1"/>
      <c r="E738" s="1" t="b">
        <f>tblTNFa[[#This Row],[NetMFI]]&gt;B737</f>
        <v>1</v>
      </c>
    </row>
    <row r="739" spans="1:5" x14ac:dyDescent="0.2">
      <c r="A739" s="1">
        <v>1475.60398398398</v>
      </c>
      <c r="B739" s="1">
        <v>16928.319121457502</v>
      </c>
      <c r="C739" s="1"/>
      <c r="D739" s="1"/>
      <c r="E739" s="1" t="b">
        <f>tblTNFa[[#This Row],[NetMFI]]&gt;B738</f>
        <v>1</v>
      </c>
    </row>
    <row r="740" spans="1:5" x14ac:dyDescent="0.2">
      <c r="A740" s="1">
        <v>1477.6054954955</v>
      </c>
      <c r="B740" s="1">
        <v>16929.159835583199</v>
      </c>
      <c r="C740" s="1"/>
      <c r="D740" s="1"/>
      <c r="E740" s="1" t="b">
        <f>tblTNFa[[#This Row],[NetMFI]]&gt;B739</f>
        <v>1</v>
      </c>
    </row>
    <row r="741" spans="1:5" x14ac:dyDescent="0.2">
      <c r="A741" s="1">
        <v>1479.60700700701</v>
      </c>
      <c r="B741" s="1">
        <v>16929.9978229935</v>
      </c>
      <c r="C741" s="1"/>
      <c r="D741" s="1"/>
      <c r="E741" s="1" t="b">
        <f>tblTNFa[[#This Row],[NetMFI]]&gt;B740</f>
        <v>1</v>
      </c>
    </row>
    <row r="742" spans="1:5" x14ac:dyDescent="0.2">
      <c r="A742" s="1">
        <v>1481.60851851852</v>
      </c>
      <c r="B742" s="1">
        <v>16930.833096042101</v>
      </c>
      <c r="C742" s="1"/>
      <c r="D742" s="1"/>
      <c r="E742" s="1" t="b">
        <f>tblTNFa[[#This Row],[NetMFI]]&gt;B741</f>
        <v>1</v>
      </c>
    </row>
    <row r="743" spans="1:5" x14ac:dyDescent="0.2">
      <c r="A743" s="1">
        <v>1483.61003003003</v>
      </c>
      <c r="B743" s="1">
        <v>16931.665667010901</v>
      </c>
      <c r="C743" s="1"/>
      <c r="D743" s="1"/>
      <c r="E743" s="1" t="b">
        <f>tblTNFa[[#This Row],[NetMFI]]&gt;B742</f>
        <v>1</v>
      </c>
    </row>
    <row r="744" spans="1:5" x14ac:dyDescent="0.2">
      <c r="A744" s="1">
        <v>1485.61154154154</v>
      </c>
      <c r="B744" s="1">
        <v>16932.495548110401</v>
      </c>
      <c r="C744" s="1"/>
      <c r="D744" s="1"/>
      <c r="E744" s="1" t="b">
        <f>tblTNFa[[#This Row],[NetMFI]]&gt;B743</f>
        <v>1</v>
      </c>
    </row>
    <row r="745" spans="1:5" x14ac:dyDescent="0.2">
      <c r="A745" s="1">
        <v>1487.61305305305</v>
      </c>
      <c r="B745" s="1">
        <v>16933.3227514807</v>
      </c>
      <c r="C745" s="1"/>
      <c r="D745" s="1"/>
      <c r="E745" s="1" t="b">
        <f>tblTNFa[[#This Row],[NetMFI]]&gt;B744</f>
        <v>1</v>
      </c>
    </row>
    <row r="746" spans="1:5" x14ac:dyDescent="0.2">
      <c r="A746" s="1">
        <v>1489.6145645645599</v>
      </c>
      <c r="B746" s="1">
        <v>16934.147289191402</v>
      </c>
      <c r="C746" s="1"/>
      <c r="D746" s="1"/>
      <c r="E746" s="1" t="b">
        <f>tblTNFa[[#This Row],[NetMFI]]&gt;B745</f>
        <v>1</v>
      </c>
    </row>
    <row r="747" spans="1:5" x14ac:dyDescent="0.2">
      <c r="A747" s="1">
        <v>1491.6160760760799</v>
      </c>
      <c r="B747" s="1">
        <v>16934.9691732426</v>
      </c>
      <c r="C747" s="1"/>
      <c r="D747" s="1"/>
      <c r="E747" s="1" t="b">
        <f>tblTNFa[[#This Row],[NetMFI]]&gt;B746</f>
        <v>1</v>
      </c>
    </row>
    <row r="748" spans="1:5" x14ac:dyDescent="0.2">
      <c r="A748" s="1">
        <v>1493.6175875875899</v>
      </c>
      <c r="B748" s="1">
        <v>16935.788415564901</v>
      </c>
      <c r="C748" s="1"/>
      <c r="D748" s="1"/>
      <c r="E748" s="1" t="b">
        <f>tblTNFa[[#This Row],[NetMFI]]&gt;B747</f>
        <v>1</v>
      </c>
    </row>
    <row r="749" spans="1:5" x14ac:dyDescent="0.2">
      <c r="A749" s="1">
        <v>1495.6190990990999</v>
      </c>
      <c r="B749" s="1">
        <v>16936.605028020502</v>
      </c>
      <c r="C749" s="1"/>
      <c r="D749" s="1"/>
      <c r="E749" s="1" t="b">
        <f>tblTNFa[[#This Row],[NetMFI]]&gt;B748</f>
        <v>1</v>
      </c>
    </row>
    <row r="750" spans="1:5" x14ac:dyDescent="0.2">
      <c r="A750" s="1">
        <v>1497.6206106106099</v>
      </c>
      <c r="B750" s="1">
        <v>16937.419022403101</v>
      </c>
      <c r="C750" s="1"/>
      <c r="D750" s="1"/>
      <c r="E750" s="1" t="b">
        <f>tblTNFa[[#This Row],[NetMFI]]&gt;B749</f>
        <v>1</v>
      </c>
    </row>
    <row r="751" spans="1:5" x14ac:dyDescent="0.2">
      <c r="A751" s="1">
        <v>1499.6221221221199</v>
      </c>
      <c r="B751" s="1">
        <v>16938.230410438598</v>
      </c>
      <c r="C751" s="1"/>
      <c r="D751" s="1"/>
      <c r="E751" s="1" t="b">
        <f>tblTNFa[[#This Row],[NetMFI]]&gt;B750</f>
        <v>1</v>
      </c>
    </row>
    <row r="752" spans="1:5" x14ac:dyDescent="0.2">
      <c r="A752" s="1">
        <v>1501.6236336336301</v>
      </c>
      <c r="B752" s="1">
        <v>16939.039203785698</v>
      </c>
      <c r="C752" s="1"/>
      <c r="D752" s="1"/>
      <c r="E752" s="1" t="b">
        <f>tblTNFa[[#This Row],[NetMFI]]&gt;B751</f>
        <v>1</v>
      </c>
    </row>
    <row r="753" spans="1:5" x14ac:dyDescent="0.2">
      <c r="A753" s="1">
        <v>1503.6251451451501</v>
      </c>
      <c r="B753" s="1">
        <v>16939.845414036299</v>
      </c>
      <c r="C753" s="1"/>
      <c r="D753" s="1"/>
      <c r="E753" s="1" t="b">
        <f>tblTNFa[[#This Row],[NetMFI]]&gt;B752</f>
        <v>1</v>
      </c>
    </row>
    <row r="754" spans="1:5" x14ac:dyDescent="0.2">
      <c r="A754" s="1">
        <v>1505.6266566566601</v>
      </c>
      <c r="B754" s="1">
        <v>16940.649052715798</v>
      </c>
      <c r="C754" s="1"/>
      <c r="D754" s="1"/>
      <c r="E754" s="1" t="b">
        <f>tblTNFa[[#This Row],[NetMFI]]&gt;B753</f>
        <v>1</v>
      </c>
    </row>
    <row r="755" spans="1:5" x14ac:dyDescent="0.2">
      <c r="A755" s="1">
        <v>1507.6281681681701</v>
      </c>
      <c r="B755" s="1">
        <v>16941.450131283698</v>
      </c>
      <c r="C755" s="1"/>
      <c r="D755" s="1"/>
      <c r="E755" s="1" t="b">
        <f>tblTNFa[[#This Row],[NetMFI]]&gt;B754</f>
        <v>1</v>
      </c>
    </row>
    <row r="756" spans="1:5" x14ac:dyDescent="0.2">
      <c r="A756" s="1">
        <v>1509.6296796796801</v>
      </c>
      <c r="B756" s="1">
        <v>16942.248661134101</v>
      </c>
      <c r="C756" s="1"/>
      <c r="D756" s="1"/>
      <c r="E756" s="1" t="b">
        <f>tblTNFa[[#This Row],[NetMFI]]&gt;B755</f>
        <v>1</v>
      </c>
    </row>
    <row r="757" spans="1:5" x14ac:dyDescent="0.2">
      <c r="A757" s="1">
        <v>1511.6311911911901</v>
      </c>
      <c r="B757" s="1">
        <v>16943.0446535962</v>
      </c>
      <c r="C757" s="1"/>
      <c r="D757" s="1"/>
      <c r="E757" s="1" t="b">
        <f>tblTNFa[[#This Row],[NetMFI]]&gt;B756</f>
        <v>1</v>
      </c>
    </row>
    <row r="758" spans="1:5" x14ac:dyDescent="0.2">
      <c r="A758" s="1">
        <v>1513.6327027027</v>
      </c>
      <c r="B758" s="1">
        <v>16943.8381199344</v>
      </c>
      <c r="C758" s="1"/>
      <c r="D758" s="1"/>
      <c r="E758" s="1" t="b">
        <f>tblTNFa[[#This Row],[NetMFI]]&gt;B757</f>
        <v>1</v>
      </c>
    </row>
    <row r="759" spans="1:5" x14ac:dyDescent="0.2">
      <c r="A759" s="1">
        <v>1515.63421421421</v>
      </c>
      <c r="B759" s="1">
        <v>16944.6290713493</v>
      </c>
      <c r="C759" s="1"/>
      <c r="D759" s="1"/>
      <c r="E759" s="1" t="b">
        <f>tblTNFa[[#This Row],[NetMFI]]&gt;B758</f>
        <v>1</v>
      </c>
    </row>
    <row r="760" spans="1:5" x14ac:dyDescent="0.2">
      <c r="A760" s="1">
        <v>1517.63572572573</v>
      </c>
      <c r="B760" s="1">
        <v>16945.417518977702</v>
      </c>
      <c r="C760" s="1"/>
      <c r="D760" s="1"/>
      <c r="E760" s="1" t="b">
        <f>tblTNFa[[#This Row],[NetMFI]]&gt;B759</f>
        <v>1</v>
      </c>
    </row>
    <row r="761" spans="1:5" x14ac:dyDescent="0.2">
      <c r="A761" s="1">
        <v>1519.63723723724</v>
      </c>
      <c r="B761" s="1">
        <v>16946.203473893002</v>
      </c>
      <c r="C761" s="1"/>
      <c r="D761" s="1"/>
      <c r="E761" s="1" t="b">
        <f>tblTNFa[[#This Row],[NetMFI]]&gt;B760</f>
        <v>1</v>
      </c>
    </row>
    <row r="762" spans="1:5" x14ac:dyDescent="0.2">
      <c r="A762" s="1">
        <v>1521.63874874875</v>
      </c>
      <c r="B762" s="1">
        <v>16946.986947106299</v>
      </c>
      <c r="C762" s="1"/>
      <c r="D762" s="1"/>
      <c r="E762" s="1" t="b">
        <f>tblTNFa[[#This Row],[NetMFI]]&gt;B761</f>
        <v>1</v>
      </c>
    </row>
    <row r="763" spans="1:5" x14ac:dyDescent="0.2">
      <c r="A763" s="1">
        <v>1523.64026026026</v>
      </c>
      <c r="B763" s="1">
        <v>16947.767949565801</v>
      </c>
      <c r="C763" s="1"/>
      <c r="D763" s="1"/>
      <c r="E763" s="1" t="b">
        <f>tblTNFa[[#This Row],[NetMFI]]&gt;B762</f>
        <v>1</v>
      </c>
    </row>
    <row r="764" spans="1:5" x14ac:dyDescent="0.2">
      <c r="A764" s="1">
        <v>1525.64177177177</v>
      </c>
      <c r="B764" s="1">
        <v>16948.546492158301</v>
      </c>
      <c r="C764" s="1"/>
      <c r="D764" s="1"/>
      <c r="E764" s="1" t="b">
        <f>tblTNFa[[#This Row],[NetMFI]]&gt;B763</f>
        <v>1</v>
      </c>
    </row>
    <row r="765" spans="1:5" x14ac:dyDescent="0.2">
      <c r="A765" s="1">
        <v>1527.64328328328</v>
      </c>
      <c r="B765" s="1">
        <v>16949.322585708702</v>
      </c>
      <c r="C765" s="1"/>
      <c r="D765" s="1"/>
      <c r="E765" s="1" t="b">
        <f>tblTNFa[[#This Row],[NetMFI]]&gt;B764</f>
        <v>1</v>
      </c>
    </row>
    <row r="766" spans="1:5" x14ac:dyDescent="0.2">
      <c r="A766" s="1">
        <v>1529.64479479479</v>
      </c>
      <c r="B766" s="1">
        <v>16950.096240981198</v>
      </c>
      <c r="C766" s="1"/>
      <c r="D766" s="1"/>
      <c r="E766" s="1" t="b">
        <f>tblTNFa[[#This Row],[NetMFI]]&gt;B765</f>
        <v>1</v>
      </c>
    </row>
    <row r="767" spans="1:5" x14ac:dyDescent="0.2">
      <c r="A767" s="1">
        <v>1531.64630630631</v>
      </c>
      <c r="B767" s="1">
        <v>16950.867468679098</v>
      </c>
      <c r="C767" s="1"/>
      <c r="D767" s="1"/>
      <c r="E767" s="1" t="b">
        <f>tblTNFa[[#This Row],[NetMFI]]&gt;B766</f>
        <v>1</v>
      </c>
    </row>
    <row r="768" spans="1:5" x14ac:dyDescent="0.2">
      <c r="A768" s="1">
        <v>1533.6478178178199</v>
      </c>
      <c r="B768" s="1">
        <v>16951.636279445502</v>
      </c>
      <c r="C768" s="1"/>
      <c r="D768" s="1"/>
      <c r="E768" s="1" t="b">
        <f>tblTNFa[[#This Row],[NetMFI]]&gt;B767</f>
        <v>1</v>
      </c>
    </row>
    <row r="769" spans="1:5" x14ac:dyDescent="0.2">
      <c r="A769" s="1">
        <v>1535.6493293293299</v>
      </c>
      <c r="B769" s="1">
        <v>16952.402683863798</v>
      </c>
      <c r="C769" s="1"/>
      <c r="D769" s="1"/>
      <c r="E769" s="1" t="b">
        <f>tblTNFa[[#This Row],[NetMFI]]&gt;B768</f>
        <v>1</v>
      </c>
    </row>
    <row r="770" spans="1:5" x14ac:dyDescent="0.2">
      <c r="A770" s="1">
        <v>1537.6508408408399</v>
      </c>
      <c r="B770" s="1">
        <v>16953.1666924579</v>
      </c>
      <c r="C770" s="1"/>
      <c r="D770" s="1"/>
      <c r="E770" s="1" t="b">
        <f>tblTNFa[[#This Row],[NetMFI]]&gt;B769</f>
        <v>1</v>
      </c>
    </row>
    <row r="771" spans="1:5" x14ac:dyDescent="0.2">
      <c r="A771" s="1">
        <v>1539.6523523523499</v>
      </c>
      <c r="B771" s="1">
        <v>16953.9283156928</v>
      </c>
      <c r="C771" s="1"/>
      <c r="D771" s="1"/>
      <c r="E771" s="1" t="b">
        <f>tblTNFa[[#This Row],[NetMFI]]&gt;B770</f>
        <v>1</v>
      </c>
    </row>
    <row r="772" spans="1:5" x14ac:dyDescent="0.2">
      <c r="A772" s="1">
        <v>1541.6538638638599</v>
      </c>
      <c r="B772" s="1">
        <v>16954.6875639748</v>
      </c>
      <c r="C772" s="1"/>
      <c r="D772" s="1"/>
      <c r="E772" s="1" t="b">
        <f>tblTNFa[[#This Row],[NetMFI]]&gt;B771</f>
        <v>1</v>
      </c>
    </row>
    <row r="773" spans="1:5" x14ac:dyDescent="0.2">
      <c r="A773" s="1">
        <v>1543.6553753753799</v>
      </c>
      <c r="B773" s="1">
        <v>16955.444447652098</v>
      </c>
      <c r="C773" s="1"/>
      <c r="D773" s="1"/>
      <c r="E773" s="1" t="b">
        <f>tblTNFa[[#This Row],[NetMFI]]&gt;B772</f>
        <v>1</v>
      </c>
    </row>
    <row r="774" spans="1:5" x14ac:dyDescent="0.2">
      <c r="A774" s="1">
        <v>1545.6568868868901</v>
      </c>
      <c r="B774" s="1">
        <v>16956.198977014999</v>
      </c>
      <c r="C774" s="1"/>
      <c r="D774" s="1"/>
      <c r="E774" s="1" t="b">
        <f>tblTNFa[[#This Row],[NetMFI]]&gt;B773</f>
        <v>1</v>
      </c>
    </row>
    <row r="775" spans="1:5" x14ac:dyDescent="0.2">
      <c r="A775" s="1">
        <v>1547.6583983984001</v>
      </c>
      <c r="B775" s="1">
        <v>16956.951162296398</v>
      </c>
      <c r="C775" s="1"/>
      <c r="D775" s="1"/>
      <c r="E775" s="1" t="b">
        <f>tblTNFa[[#This Row],[NetMFI]]&gt;B774</f>
        <v>1</v>
      </c>
    </row>
    <row r="776" spans="1:5" x14ac:dyDescent="0.2">
      <c r="A776" s="1">
        <v>1549.6599099099101</v>
      </c>
      <c r="B776" s="1">
        <v>16957.701013672398</v>
      </c>
      <c r="C776" s="1"/>
      <c r="D776" s="1"/>
      <c r="E776" s="1" t="b">
        <f>tblTNFa[[#This Row],[NetMFI]]&gt;B775</f>
        <v>1</v>
      </c>
    </row>
    <row r="777" spans="1:5" x14ac:dyDescent="0.2">
      <c r="A777" s="1">
        <v>1551.6614214214201</v>
      </c>
      <c r="B777" s="1">
        <v>16958.4485412621</v>
      </c>
      <c r="C777" s="1"/>
      <c r="D777" s="1"/>
      <c r="E777" s="1" t="b">
        <f>tblTNFa[[#This Row],[NetMFI]]&gt;B776</f>
        <v>1</v>
      </c>
    </row>
    <row r="778" spans="1:5" x14ac:dyDescent="0.2">
      <c r="A778" s="1">
        <v>1553.6629329329301</v>
      </c>
      <c r="B778" s="1">
        <v>16959.193755128701</v>
      </c>
      <c r="C778" s="1"/>
      <c r="D778" s="1"/>
      <c r="E778" s="1" t="b">
        <f>tblTNFa[[#This Row],[NetMFI]]&gt;B777</f>
        <v>1</v>
      </c>
    </row>
    <row r="779" spans="1:5" x14ac:dyDescent="0.2">
      <c r="A779" s="1">
        <v>1555.6644444444401</v>
      </c>
      <c r="B779" s="1">
        <v>16959.936665279401</v>
      </c>
      <c r="C779" s="1"/>
      <c r="D779" s="1"/>
      <c r="E779" s="1" t="b">
        <f>tblTNFa[[#This Row],[NetMFI]]&gt;B778</f>
        <v>1</v>
      </c>
    </row>
    <row r="780" spans="1:5" x14ac:dyDescent="0.2">
      <c r="A780" s="1">
        <v>1557.66595595596</v>
      </c>
      <c r="B780" s="1">
        <v>16960.677281665801</v>
      </c>
      <c r="C780" s="1"/>
      <c r="D780" s="1"/>
      <c r="E780" s="1" t="b">
        <f>tblTNFa[[#This Row],[NetMFI]]&gt;B779</f>
        <v>1</v>
      </c>
    </row>
    <row r="781" spans="1:5" x14ac:dyDescent="0.2">
      <c r="A781" s="1">
        <v>1559.66746746747</v>
      </c>
      <c r="B781" s="1">
        <v>16961.4156141846</v>
      </c>
      <c r="C781" s="1"/>
      <c r="D781" s="1"/>
      <c r="E781" s="1" t="b">
        <f>tblTNFa[[#This Row],[NetMFI]]&gt;B780</f>
        <v>1</v>
      </c>
    </row>
    <row r="782" spans="1:5" x14ac:dyDescent="0.2">
      <c r="A782" s="1">
        <v>1561.66897897898</v>
      </c>
      <c r="B782" s="1">
        <v>16962.151672677599</v>
      </c>
      <c r="C782" s="1"/>
      <c r="D782" s="1"/>
      <c r="E782" s="1" t="b">
        <f>tblTNFa[[#This Row],[NetMFI]]&gt;B781</f>
        <v>1</v>
      </c>
    </row>
    <row r="783" spans="1:5" x14ac:dyDescent="0.2">
      <c r="A783" s="1">
        <v>1563.67049049049</v>
      </c>
      <c r="B783" s="1">
        <v>16962.885466932301</v>
      </c>
      <c r="C783" s="1"/>
      <c r="D783" s="1"/>
      <c r="E783" s="1" t="b">
        <f>tblTNFa[[#This Row],[NetMFI]]&gt;B782</f>
        <v>1</v>
      </c>
    </row>
    <row r="784" spans="1:5" x14ac:dyDescent="0.2">
      <c r="A784" s="1">
        <v>1565.672002002</v>
      </c>
      <c r="B784" s="1">
        <v>16963.617006682201</v>
      </c>
      <c r="C784" s="1"/>
      <c r="D784" s="1"/>
      <c r="E784" s="1" t="b">
        <f>tblTNFa[[#This Row],[NetMFI]]&gt;B783</f>
        <v>1</v>
      </c>
    </row>
    <row r="785" spans="1:5" x14ac:dyDescent="0.2">
      <c r="A785" s="1">
        <v>1567.67351351351</v>
      </c>
      <c r="B785" s="1">
        <v>16964.346301607198</v>
      </c>
      <c r="C785" s="1"/>
      <c r="D785" s="1"/>
      <c r="E785" s="1" t="b">
        <f>tblTNFa[[#This Row],[NetMFI]]&gt;B784</f>
        <v>1</v>
      </c>
    </row>
    <row r="786" spans="1:5" x14ac:dyDescent="0.2">
      <c r="A786" s="1">
        <v>1569.67502502503</v>
      </c>
      <c r="B786" s="1">
        <v>16965.0733613337</v>
      </c>
      <c r="C786" s="1"/>
      <c r="D786" s="1"/>
      <c r="E786" s="1" t="b">
        <f>tblTNFa[[#This Row],[NetMFI]]&gt;B785</f>
        <v>1</v>
      </c>
    </row>
    <row r="787" spans="1:5" x14ac:dyDescent="0.2">
      <c r="A787" s="1">
        <v>1571.67653653654</v>
      </c>
      <c r="B787" s="1">
        <v>16965.798195435498</v>
      </c>
      <c r="C787" s="1"/>
      <c r="D787" s="1"/>
      <c r="E787" s="1" t="b">
        <f>tblTNFa[[#This Row],[NetMFI]]&gt;B786</f>
        <v>1</v>
      </c>
    </row>
    <row r="788" spans="1:5" x14ac:dyDescent="0.2">
      <c r="A788" s="1">
        <v>1573.67804804805</v>
      </c>
      <c r="B788" s="1">
        <v>16966.520813433599</v>
      </c>
      <c r="C788" s="1"/>
      <c r="D788" s="1"/>
      <c r="E788" s="1" t="b">
        <f>tblTNFa[[#This Row],[NetMFI]]&gt;B787</f>
        <v>1</v>
      </c>
    </row>
    <row r="789" spans="1:5" x14ac:dyDescent="0.2">
      <c r="A789" s="1">
        <v>1575.6795595595599</v>
      </c>
      <c r="B789" s="1">
        <v>16967.241224796799</v>
      </c>
      <c r="C789" s="1"/>
      <c r="D789" s="1"/>
      <c r="E789" s="1" t="b">
        <f>tblTNFa[[#This Row],[NetMFI]]&gt;B788</f>
        <v>1</v>
      </c>
    </row>
    <row r="790" spans="1:5" x14ac:dyDescent="0.2">
      <c r="A790" s="1">
        <v>1577.6810710710699</v>
      </c>
      <c r="B790" s="1">
        <v>16967.9594389421</v>
      </c>
      <c r="C790" s="1"/>
      <c r="D790" s="1"/>
      <c r="E790" s="1" t="b">
        <f>tblTNFa[[#This Row],[NetMFI]]&gt;B789</f>
        <v>1</v>
      </c>
    </row>
    <row r="791" spans="1:5" x14ac:dyDescent="0.2">
      <c r="A791" s="1">
        <v>1579.6825825825799</v>
      </c>
      <c r="B791" s="1">
        <v>16968.675465235101</v>
      </c>
      <c r="C791" s="1"/>
      <c r="D791" s="1"/>
      <c r="E791" s="1" t="b">
        <f>tblTNFa[[#This Row],[NetMFI]]&gt;B790</f>
        <v>1</v>
      </c>
    </row>
    <row r="792" spans="1:5" x14ac:dyDescent="0.2">
      <c r="A792" s="1">
        <v>1581.6840940940899</v>
      </c>
      <c r="B792" s="1">
        <v>16969.389312989799</v>
      </c>
      <c r="C792" s="1"/>
      <c r="D792" s="1"/>
      <c r="E792" s="1" t="b">
        <f>tblTNFa[[#This Row],[NetMFI]]&gt;B791</f>
        <v>1</v>
      </c>
    </row>
    <row r="793" spans="1:5" x14ac:dyDescent="0.2">
      <c r="A793" s="1">
        <v>1583.6856056056099</v>
      </c>
      <c r="B793" s="1">
        <v>16970.100991469899</v>
      </c>
      <c r="C793" s="1"/>
      <c r="D793" s="1"/>
      <c r="E793" s="1" t="b">
        <f>tblTNFa[[#This Row],[NetMFI]]&gt;B792</f>
        <v>1</v>
      </c>
    </row>
    <row r="794" spans="1:5" x14ac:dyDescent="0.2">
      <c r="A794" s="1">
        <v>1585.6871171171199</v>
      </c>
      <c r="B794" s="1">
        <v>16970.810509888299</v>
      </c>
      <c r="C794" s="1"/>
      <c r="D794" s="1"/>
      <c r="E794" s="1" t="b">
        <f>tblTNFa[[#This Row],[NetMFI]]&gt;B793</f>
        <v>1</v>
      </c>
    </row>
    <row r="795" spans="1:5" x14ac:dyDescent="0.2">
      <c r="A795" s="1">
        <v>1587.6886286286301</v>
      </c>
      <c r="B795" s="1">
        <v>16971.517877407601</v>
      </c>
      <c r="C795" s="1"/>
      <c r="D795" s="1"/>
      <c r="E795" s="1" t="b">
        <f>tblTNFa[[#This Row],[NetMFI]]&gt;B794</f>
        <v>1</v>
      </c>
    </row>
    <row r="796" spans="1:5" x14ac:dyDescent="0.2">
      <c r="A796" s="1">
        <v>1589.6901401401401</v>
      </c>
      <c r="B796" s="1">
        <v>16972.223103140899</v>
      </c>
      <c r="C796" s="1"/>
      <c r="D796" s="1"/>
      <c r="E796" s="1" t="b">
        <f>tblTNFa[[#This Row],[NetMFI]]&gt;B795</f>
        <v>1</v>
      </c>
    </row>
    <row r="797" spans="1:5" x14ac:dyDescent="0.2">
      <c r="A797" s="1">
        <v>1591.6916516516501</v>
      </c>
      <c r="B797" s="1">
        <v>16972.926196151599</v>
      </c>
      <c r="C797" s="1"/>
      <c r="D797" s="1"/>
      <c r="E797" s="1" t="b">
        <f>tblTNFa[[#This Row],[NetMFI]]&gt;B796</f>
        <v>1</v>
      </c>
    </row>
    <row r="798" spans="1:5" x14ac:dyDescent="0.2">
      <c r="A798" s="1">
        <v>1593.6931631631601</v>
      </c>
      <c r="B798" s="1">
        <v>16973.627165453901</v>
      </c>
      <c r="C798" s="1"/>
      <c r="D798" s="1"/>
      <c r="E798" s="1" t="b">
        <f>tblTNFa[[#This Row],[NetMFI]]&gt;B797</f>
        <v>1</v>
      </c>
    </row>
    <row r="799" spans="1:5" x14ac:dyDescent="0.2">
      <c r="A799" s="1">
        <v>1595.6946746746701</v>
      </c>
      <c r="B799" s="1">
        <v>16974.326020013301</v>
      </c>
      <c r="C799" s="1"/>
      <c r="D799" s="1"/>
      <c r="E799" s="1" t="b">
        <f>tblTNFa[[#This Row],[NetMFI]]&gt;B798</f>
        <v>1</v>
      </c>
    </row>
    <row r="800" spans="1:5" x14ac:dyDescent="0.2">
      <c r="A800" s="1">
        <v>1597.6961861861901</v>
      </c>
      <c r="B800" s="1">
        <v>16975.022768746599</v>
      </c>
      <c r="C800" s="1"/>
      <c r="D800" s="1"/>
      <c r="E800" s="1" t="b">
        <f>tblTNFa[[#This Row],[NetMFI]]&gt;B799</f>
        <v>1</v>
      </c>
    </row>
    <row r="801" spans="1:5" x14ac:dyDescent="0.2">
      <c r="A801" s="1">
        <v>1599.6976976977001</v>
      </c>
      <c r="B801" s="1">
        <v>16975.7174205226</v>
      </c>
      <c r="C801" s="1"/>
      <c r="D801" s="1"/>
      <c r="E801" s="1" t="b">
        <f>tblTNFa[[#This Row],[NetMFI]]&gt;B800</f>
        <v>1</v>
      </c>
    </row>
    <row r="802" spans="1:5" x14ac:dyDescent="0.2">
      <c r="A802" s="1">
        <v>1601.69920920921</v>
      </c>
      <c r="B802" s="1">
        <v>16976.409984161899</v>
      </c>
      <c r="C802" s="1"/>
      <c r="D802" s="1"/>
      <c r="E802" s="1" t="b">
        <f>tblTNFa[[#This Row],[NetMFI]]&gt;B801</f>
        <v>1</v>
      </c>
    </row>
    <row r="803" spans="1:5" x14ac:dyDescent="0.2">
      <c r="A803" s="1">
        <v>1603.70072072072</v>
      </c>
      <c r="B803" s="1">
        <v>16977.1004684379</v>
      </c>
      <c r="C803" s="1"/>
      <c r="D803" s="1"/>
      <c r="E803" s="1" t="b">
        <f>tblTNFa[[#This Row],[NetMFI]]&gt;B802</f>
        <v>1</v>
      </c>
    </row>
    <row r="804" spans="1:5" x14ac:dyDescent="0.2">
      <c r="A804" s="1">
        <v>1605.70223223223</v>
      </c>
      <c r="B804" s="1">
        <v>16977.7888820765</v>
      </c>
      <c r="C804" s="1"/>
      <c r="D804" s="1"/>
      <c r="E804" s="1" t="b">
        <f>tblTNFa[[#This Row],[NetMFI]]&gt;B803</f>
        <v>1</v>
      </c>
    </row>
    <row r="805" spans="1:5" x14ac:dyDescent="0.2">
      <c r="A805" s="1">
        <v>1607.70374374374</v>
      </c>
      <c r="B805" s="1">
        <v>16978.475233756599</v>
      </c>
      <c r="C805" s="1"/>
      <c r="D805" s="1"/>
      <c r="E805" s="1" t="b">
        <f>tblTNFa[[#This Row],[NetMFI]]&gt;B804</f>
        <v>1</v>
      </c>
    </row>
    <row r="806" spans="1:5" x14ac:dyDescent="0.2">
      <c r="A806" s="1">
        <v>1609.70525525526</v>
      </c>
      <c r="B806" s="1">
        <v>16979.159532110702</v>
      </c>
      <c r="C806" s="1"/>
      <c r="D806" s="1"/>
      <c r="E806" s="1" t="b">
        <f>tblTNFa[[#This Row],[NetMFI]]&gt;B805</f>
        <v>1</v>
      </c>
    </row>
    <row r="807" spans="1:5" x14ac:dyDescent="0.2">
      <c r="A807" s="1">
        <v>1611.70676676677</v>
      </c>
      <c r="B807" s="1">
        <v>16979.8417857247</v>
      </c>
      <c r="C807" s="1"/>
      <c r="D807" s="1"/>
      <c r="E807" s="1" t="b">
        <f>tblTNFa[[#This Row],[NetMFI]]&gt;B806</f>
        <v>1</v>
      </c>
    </row>
    <row r="808" spans="1:5" x14ac:dyDescent="0.2">
      <c r="A808" s="1">
        <v>1613.70827827828</v>
      </c>
      <c r="B808" s="1">
        <v>16980.522003138602</v>
      </c>
      <c r="C808" s="1"/>
      <c r="D808" s="1"/>
      <c r="E808" s="1" t="b">
        <f>tblTNFa[[#This Row],[NetMFI]]&gt;B807</f>
        <v>1</v>
      </c>
    </row>
    <row r="809" spans="1:5" x14ac:dyDescent="0.2">
      <c r="A809" s="1">
        <v>1615.70978978979</v>
      </c>
      <c r="B809" s="1">
        <v>16981.200192846802</v>
      </c>
      <c r="C809" s="1"/>
      <c r="D809" s="1"/>
      <c r="E809" s="1" t="b">
        <f>tblTNFa[[#This Row],[NetMFI]]&gt;B808</f>
        <v>1</v>
      </c>
    </row>
    <row r="810" spans="1:5" x14ac:dyDescent="0.2">
      <c r="A810" s="1">
        <v>1617.7113013013</v>
      </c>
      <c r="B810" s="1">
        <v>16981.876363297801</v>
      </c>
      <c r="C810" s="1"/>
      <c r="D810" s="1"/>
      <c r="E810" s="1" t="b">
        <f>tblTNFa[[#This Row],[NetMFI]]&gt;B809</f>
        <v>1</v>
      </c>
    </row>
    <row r="811" spans="1:5" x14ac:dyDescent="0.2">
      <c r="A811" s="1">
        <v>1619.7128128128099</v>
      </c>
      <c r="B811" s="1">
        <v>16982.550522895599</v>
      </c>
      <c r="C811" s="1"/>
      <c r="D811" s="1"/>
      <c r="E811" s="1" t="b">
        <f>tblTNFa[[#This Row],[NetMFI]]&gt;B810</f>
        <v>1</v>
      </c>
    </row>
    <row r="812" spans="1:5" x14ac:dyDescent="0.2">
      <c r="A812" s="1">
        <v>1621.7143243243199</v>
      </c>
      <c r="B812" s="1">
        <v>16983.222679998798</v>
      </c>
      <c r="C812" s="1"/>
      <c r="D812" s="1"/>
      <c r="E812" s="1" t="b">
        <f>tblTNFa[[#This Row],[NetMFI]]&gt;B811</f>
        <v>1</v>
      </c>
    </row>
    <row r="813" spans="1:5" x14ac:dyDescent="0.2">
      <c r="A813" s="1">
        <v>1623.7158358358399</v>
      </c>
      <c r="B813" s="1">
        <v>16983.892842921799</v>
      </c>
      <c r="C813" s="1"/>
      <c r="D813" s="1"/>
      <c r="E813" s="1" t="b">
        <f>tblTNFa[[#This Row],[NetMFI]]&gt;B812</f>
        <v>1</v>
      </c>
    </row>
    <row r="814" spans="1:5" x14ac:dyDescent="0.2">
      <c r="A814" s="1">
        <v>1625.7173473473499</v>
      </c>
      <c r="B814" s="1">
        <v>16984.561019934499</v>
      </c>
      <c r="C814" s="1"/>
      <c r="D814" s="1"/>
      <c r="E814" s="1" t="b">
        <f>tblTNFa[[#This Row],[NetMFI]]&gt;B813</f>
        <v>1</v>
      </c>
    </row>
    <row r="815" spans="1:5" x14ac:dyDescent="0.2">
      <c r="A815" s="1">
        <v>1627.7188588588599</v>
      </c>
      <c r="B815" s="1">
        <v>16985.227219263099</v>
      </c>
      <c r="C815" s="1"/>
      <c r="D815" s="1"/>
      <c r="E815" s="1" t="b">
        <f>tblTNFa[[#This Row],[NetMFI]]&gt;B814</f>
        <v>1</v>
      </c>
    </row>
    <row r="816" spans="1:5" x14ac:dyDescent="0.2">
      <c r="A816" s="1">
        <v>1629.7203703703699</v>
      </c>
      <c r="B816" s="1">
        <v>16985.8914490897</v>
      </c>
      <c r="C816" s="1"/>
      <c r="D816" s="1"/>
      <c r="E816" s="1" t="b">
        <f>tblTNFa[[#This Row],[NetMFI]]&gt;B815</f>
        <v>1</v>
      </c>
    </row>
    <row r="817" spans="1:5" x14ac:dyDescent="0.2">
      <c r="A817" s="1">
        <v>1631.7218818818801</v>
      </c>
      <c r="B817" s="1">
        <v>16986.553717553299</v>
      </c>
      <c r="C817" s="1"/>
      <c r="D817" s="1"/>
      <c r="E817" s="1" t="b">
        <f>tblTNFa[[#This Row],[NetMFI]]&gt;B816</f>
        <v>1</v>
      </c>
    </row>
    <row r="818" spans="1:5" x14ac:dyDescent="0.2">
      <c r="A818" s="1">
        <v>1633.7233933933901</v>
      </c>
      <c r="B818" s="1">
        <v>16987.214032749798</v>
      </c>
      <c r="C818" s="1"/>
      <c r="D818" s="1"/>
      <c r="E818" s="1" t="b">
        <f>tblTNFa[[#This Row],[NetMFI]]&gt;B817</f>
        <v>1</v>
      </c>
    </row>
    <row r="819" spans="1:5" x14ac:dyDescent="0.2">
      <c r="A819" s="1">
        <v>1635.7249049049101</v>
      </c>
      <c r="B819" s="1">
        <v>16987.872402731999</v>
      </c>
      <c r="C819" s="1"/>
      <c r="D819" s="1"/>
      <c r="E819" s="1" t="b">
        <f>tblTNFa[[#This Row],[NetMFI]]&gt;B818</f>
        <v>1</v>
      </c>
    </row>
    <row r="820" spans="1:5" x14ac:dyDescent="0.2">
      <c r="A820" s="1">
        <v>1637.7264164164201</v>
      </c>
      <c r="B820" s="1">
        <v>16988.528835510398</v>
      </c>
      <c r="C820" s="1"/>
      <c r="D820" s="1"/>
      <c r="E820" s="1" t="b">
        <f>tblTNFa[[#This Row],[NetMFI]]&gt;B819</f>
        <v>1</v>
      </c>
    </row>
    <row r="821" spans="1:5" x14ac:dyDescent="0.2">
      <c r="A821" s="1">
        <v>1639.7279279279301</v>
      </c>
      <c r="B821" s="1">
        <v>16989.183339052899</v>
      </c>
      <c r="C821" s="1"/>
      <c r="D821" s="1"/>
      <c r="E821" s="1" t="b">
        <f>tblTNFa[[#This Row],[NetMFI]]&gt;B820</f>
        <v>1</v>
      </c>
    </row>
    <row r="822" spans="1:5" x14ac:dyDescent="0.2">
      <c r="A822" s="1">
        <v>1641.7294394394401</v>
      </c>
      <c r="B822" s="1">
        <v>16989.835921285699</v>
      </c>
      <c r="C822" s="1"/>
      <c r="D822" s="1"/>
      <c r="E822" s="1" t="b">
        <f>tblTNFa[[#This Row],[NetMFI]]&gt;B821</f>
        <v>1</v>
      </c>
    </row>
    <row r="823" spans="1:5" x14ac:dyDescent="0.2">
      <c r="A823" s="1">
        <v>1643.73095095095</v>
      </c>
      <c r="B823" s="1">
        <v>16990.486590093002</v>
      </c>
      <c r="C823" s="1"/>
      <c r="D823" s="1"/>
      <c r="E823" s="1" t="b">
        <f>tblTNFa[[#This Row],[NetMFI]]&gt;B822</f>
        <v>1</v>
      </c>
    </row>
    <row r="824" spans="1:5" x14ac:dyDescent="0.2">
      <c r="A824" s="1">
        <v>1645.73246246246</v>
      </c>
      <c r="B824" s="1">
        <v>16991.135353317601</v>
      </c>
      <c r="C824" s="1"/>
      <c r="D824" s="1"/>
      <c r="E824" s="1" t="b">
        <f>tblTNFa[[#This Row],[NetMFI]]&gt;B823</f>
        <v>1</v>
      </c>
    </row>
    <row r="825" spans="1:5" x14ac:dyDescent="0.2">
      <c r="A825" s="1">
        <v>1647.73397397397</v>
      </c>
      <c r="B825" s="1">
        <v>16991.782218761</v>
      </c>
      <c r="C825" s="1"/>
      <c r="D825" s="1"/>
      <c r="E825" s="1" t="b">
        <f>tblTNFa[[#This Row],[NetMFI]]&gt;B824</f>
        <v>1</v>
      </c>
    </row>
    <row r="826" spans="1:5" x14ac:dyDescent="0.2">
      <c r="A826" s="1">
        <v>1649.73548548549</v>
      </c>
      <c r="B826" s="1">
        <v>16992.4271941839</v>
      </c>
      <c r="C826" s="1"/>
      <c r="D826" s="1"/>
      <c r="E826" s="1" t="b">
        <f>tblTNFa[[#This Row],[NetMFI]]&gt;B825</f>
        <v>1</v>
      </c>
    </row>
    <row r="827" spans="1:5" x14ac:dyDescent="0.2">
      <c r="A827" s="1">
        <v>1651.736996997</v>
      </c>
      <c r="B827" s="1">
        <v>16993.0702873062</v>
      </c>
      <c r="C827" s="1"/>
      <c r="D827" s="1"/>
      <c r="E827" s="1" t="b">
        <f>tblTNFa[[#This Row],[NetMFI]]&gt;B826</f>
        <v>1</v>
      </c>
    </row>
    <row r="828" spans="1:5" x14ac:dyDescent="0.2">
      <c r="A828" s="1">
        <v>1653.73850850851</v>
      </c>
      <c r="B828" s="1">
        <v>16993.7115058073</v>
      </c>
      <c r="C828" s="1"/>
      <c r="D828" s="1"/>
      <c r="E828" s="1" t="b">
        <f>tblTNFa[[#This Row],[NetMFI]]&gt;B827</f>
        <v>1</v>
      </c>
    </row>
    <row r="829" spans="1:5" x14ac:dyDescent="0.2">
      <c r="A829" s="1">
        <v>1655.74002002002</v>
      </c>
      <c r="B829" s="1">
        <v>16994.350857326499</v>
      </c>
      <c r="C829" s="1"/>
      <c r="D829" s="1"/>
      <c r="E829" s="1" t="b">
        <f>tblTNFa[[#This Row],[NetMFI]]&gt;B828</f>
        <v>1</v>
      </c>
    </row>
    <row r="830" spans="1:5" x14ac:dyDescent="0.2">
      <c r="A830" s="1">
        <v>1657.74153153153</v>
      </c>
      <c r="B830" s="1">
        <v>16994.988349463201</v>
      </c>
      <c r="C830" s="1"/>
      <c r="D830" s="1"/>
      <c r="E830" s="1" t="b">
        <f>tblTNFa[[#This Row],[NetMFI]]&gt;B829</f>
        <v>1</v>
      </c>
    </row>
    <row r="831" spans="1:5" x14ac:dyDescent="0.2">
      <c r="A831" s="1">
        <v>1659.74304304304</v>
      </c>
      <c r="B831" s="1">
        <v>16995.623989776999</v>
      </c>
      <c r="C831" s="1"/>
      <c r="D831" s="1"/>
      <c r="E831" s="1" t="b">
        <f>tblTNFa[[#This Row],[NetMFI]]&gt;B830</f>
        <v>1</v>
      </c>
    </row>
    <row r="832" spans="1:5" x14ac:dyDescent="0.2">
      <c r="A832" s="1">
        <v>1661.7445545545499</v>
      </c>
      <c r="B832" s="1">
        <v>16996.257785788399</v>
      </c>
      <c r="C832" s="1"/>
      <c r="D832" s="1"/>
      <c r="E832" s="1" t="b">
        <f>tblTNFa[[#This Row],[NetMFI]]&gt;B831</f>
        <v>1</v>
      </c>
    </row>
    <row r="833" spans="1:5" x14ac:dyDescent="0.2">
      <c r="A833" s="1">
        <v>1663.7460660660699</v>
      </c>
      <c r="B833" s="1">
        <v>16996.8897449783</v>
      </c>
      <c r="C833" s="1"/>
      <c r="D833" s="1"/>
      <c r="E833" s="1" t="b">
        <f>tblTNFa[[#This Row],[NetMFI]]&gt;B832</f>
        <v>1</v>
      </c>
    </row>
    <row r="834" spans="1:5" x14ac:dyDescent="0.2">
      <c r="A834" s="1">
        <v>1665.7475775775799</v>
      </c>
      <c r="B834" s="1">
        <v>16997.519874788901</v>
      </c>
      <c r="C834" s="1"/>
      <c r="D834" s="1"/>
      <c r="E834" s="1" t="b">
        <f>tblTNFa[[#This Row],[NetMFI]]&gt;B833</f>
        <v>1</v>
      </c>
    </row>
    <row r="835" spans="1:5" x14ac:dyDescent="0.2">
      <c r="A835" s="1">
        <v>1667.7490890890899</v>
      </c>
      <c r="B835" s="1">
        <v>16998.148182623801</v>
      </c>
      <c r="C835" s="1"/>
      <c r="D835" s="1"/>
      <c r="E835" s="1" t="b">
        <f>tblTNFa[[#This Row],[NetMFI]]&gt;B834</f>
        <v>1</v>
      </c>
    </row>
    <row r="836" spans="1:5" x14ac:dyDescent="0.2">
      <c r="A836" s="1">
        <v>1669.7506006005999</v>
      </c>
      <c r="B836" s="1">
        <v>16998.774675848101</v>
      </c>
      <c r="C836" s="1"/>
      <c r="D836" s="1"/>
      <c r="E836" s="1" t="b">
        <f>tblTNFa[[#This Row],[NetMFI]]&gt;B835</f>
        <v>1</v>
      </c>
    </row>
    <row r="837" spans="1:5" x14ac:dyDescent="0.2">
      <c r="A837" s="1">
        <v>1671.7521121121099</v>
      </c>
      <c r="B837" s="1">
        <v>16999.399361788699</v>
      </c>
      <c r="C837" s="1"/>
      <c r="D837" s="1"/>
      <c r="E837" s="1" t="b">
        <f>tblTNFa[[#This Row],[NetMFI]]&gt;B836</f>
        <v>1</v>
      </c>
    </row>
    <row r="838" spans="1:5" x14ac:dyDescent="0.2">
      <c r="A838" s="1">
        <v>1673.7536236236199</v>
      </c>
      <c r="B838" s="1">
        <v>17000.0222477346</v>
      </c>
      <c r="C838" s="1"/>
      <c r="D838" s="1"/>
      <c r="E838" s="1" t="b">
        <f>tblTNFa[[#This Row],[NetMFI]]&gt;B837</f>
        <v>1</v>
      </c>
    </row>
    <row r="839" spans="1:5" x14ac:dyDescent="0.2">
      <c r="A839" s="1">
        <v>1675.7551351351401</v>
      </c>
      <c r="B839" s="1">
        <v>17000.643340936898</v>
      </c>
      <c r="C839" s="1"/>
      <c r="D839" s="1"/>
      <c r="E839" s="1" t="b">
        <f>tblTNFa[[#This Row],[NetMFI]]&gt;B838</f>
        <v>1</v>
      </c>
    </row>
    <row r="840" spans="1:5" x14ac:dyDescent="0.2">
      <c r="A840" s="1">
        <v>1677.7566466466501</v>
      </c>
      <c r="B840" s="1">
        <v>17001.262648609601</v>
      </c>
      <c r="C840" s="1"/>
      <c r="D840" s="1"/>
      <c r="E840" s="1" t="b">
        <f>tblTNFa[[#This Row],[NetMFI]]&gt;B839</f>
        <v>1</v>
      </c>
    </row>
    <row r="841" spans="1:5" x14ac:dyDescent="0.2">
      <c r="A841" s="1">
        <v>1679.7581581581601</v>
      </c>
      <c r="B841" s="1">
        <v>17001.880177929099</v>
      </c>
      <c r="C841" s="1"/>
      <c r="D841" s="1"/>
      <c r="E841" s="1" t="b">
        <f>tblTNFa[[#This Row],[NetMFI]]&gt;B840</f>
        <v>1</v>
      </c>
    </row>
    <row r="842" spans="1:5" x14ac:dyDescent="0.2">
      <c r="A842" s="1">
        <v>1681.7596696696701</v>
      </c>
      <c r="B842" s="1">
        <v>17002.495936035099</v>
      </c>
      <c r="C842" s="1"/>
      <c r="D842" s="1"/>
      <c r="E842" s="1" t="b">
        <f>tblTNFa[[#This Row],[NetMFI]]&gt;B841</f>
        <v>1</v>
      </c>
    </row>
    <row r="843" spans="1:5" x14ac:dyDescent="0.2">
      <c r="A843" s="1">
        <v>1683.7611811811801</v>
      </c>
      <c r="B843" s="1">
        <v>17003.109930030401</v>
      </c>
      <c r="C843" s="1"/>
      <c r="D843" s="1"/>
      <c r="E843" s="1" t="b">
        <f>tblTNFa[[#This Row],[NetMFI]]&gt;B842</f>
        <v>1</v>
      </c>
    </row>
    <row r="844" spans="1:5" x14ac:dyDescent="0.2">
      <c r="A844" s="1">
        <v>1685.7626926926901</v>
      </c>
      <c r="B844" s="1">
        <v>17003.722166981301</v>
      </c>
      <c r="C844" s="1"/>
      <c r="D844" s="1"/>
      <c r="E844" s="1" t="b">
        <f>tblTNFa[[#This Row],[NetMFI]]&gt;B843</f>
        <v>1</v>
      </c>
    </row>
    <row r="845" spans="1:5" x14ac:dyDescent="0.2">
      <c r="A845" s="1">
        <v>1687.7642042042</v>
      </c>
      <c r="B845" s="1">
        <v>17004.3326539177</v>
      </c>
      <c r="C845" s="1"/>
      <c r="D845" s="1"/>
      <c r="E845" s="1" t="b">
        <f>tblTNFa[[#This Row],[NetMFI]]&gt;B844</f>
        <v>1</v>
      </c>
    </row>
    <row r="846" spans="1:5" x14ac:dyDescent="0.2">
      <c r="A846" s="1">
        <v>1689.76571571572</v>
      </c>
      <c r="B846" s="1">
        <v>17004.941397833602</v>
      </c>
      <c r="C846" s="1"/>
      <c r="D846" s="1"/>
      <c r="E846" s="1" t="b">
        <f>tblTNFa[[#This Row],[NetMFI]]&gt;B845</f>
        <v>1</v>
      </c>
    </row>
    <row r="847" spans="1:5" x14ac:dyDescent="0.2">
      <c r="A847" s="1">
        <v>1691.76722722723</v>
      </c>
      <c r="B847" s="1">
        <v>17005.548405686899</v>
      </c>
      <c r="C847" s="1"/>
      <c r="D847" s="1"/>
      <c r="E847" s="1" t="b">
        <f>tblTNFa[[#This Row],[NetMFI]]&gt;B846</f>
        <v>1</v>
      </c>
    </row>
    <row r="848" spans="1:5" x14ac:dyDescent="0.2">
      <c r="A848" s="1">
        <v>1693.76873873874</v>
      </c>
      <c r="B848" s="1">
        <v>17006.1536844002</v>
      </c>
      <c r="C848" s="1"/>
      <c r="D848" s="1"/>
      <c r="E848" s="1" t="b">
        <f>tblTNFa[[#This Row],[NetMFI]]&gt;B847</f>
        <v>1</v>
      </c>
    </row>
    <row r="849" spans="1:5" x14ac:dyDescent="0.2">
      <c r="A849" s="1">
        <v>1695.77025025025</v>
      </c>
      <c r="B849" s="1">
        <v>17006.757240860399</v>
      </c>
      <c r="C849" s="1"/>
      <c r="D849" s="1"/>
      <c r="E849" s="1" t="b">
        <f>tblTNFa[[#This Row],[NetMFI]]&gt;B848</f>
        <v>1</v>
      </c>
    </row>
    <row r="850" spans="1:5" x14ac:dyDescent="0.2">
      <c r="A850" s="1">
        <v>1697.77176176176</v>
      </c>
      <c r="B850" s="1">
        <v>17007.3590819194</v>
      </c>
      <c r="C850" s="1"/>
      <c r="D850" s="1"/>
      <c r="E850" s="1" t="b">
        <f>tblTNFa[[#This Row],[NetMFI]]&gt;B849</f>
        <v>1</v>
      </c>
    </row>
    <row r="851" spans="1:5" x14ac:dyDescent="0.2">
      <c r="A851" s="1">
        <v>1699.77327327327</v>
      </c>
      <c r="B851" s="1">
        <v>17007.959214394101</v>
      </c>
      <c r="C851" s="1"/>
      <c r="D851" s="1"/>
      <c r="E851" s="1" t="b">
        <f>tblTNFa[[#This Row],[NetMFI]]&gt;B850</f>
        <v>1</v>
      </c>
    </row>
    <row r="852" spans="1:5" x14ac:dyDescent="0.2">
      <c r="A852" s="1">
        <v>1701.77478478478</v>
      </c>
      <c r="B852" s="1">
        <v>17008.557645066601</v>
      </c>
      <c r="C852" s="1"/>
      <c r="D852" s="1"/>
      <c r="E852" s="1" t="b">
        <f>tblTNFa[[#This Row],[NetMFI]]&gt;B851</f>
        <v>1</v>
      </c>
    </row>
    <row r="853" spans="1:5" x14ac:dyDescent="0.2">
      <c r="A853" s="1">
        <v>1703.7762962963</v>
      </c>
      <c r="B853" s="1">
        <v>17009.154380684398</v>
      </c>
      <c r="C853" s="1"/>
      <c r="D853" s="1"/>
      <c r="E853" s="1" t="b">
        <f>tblTNFa[[#This Row],[NetMFI]]&gt;B852</f>
        <v>1</v>
      </c>
    </row>
    <row r="854" spans="1:5" x14ac:dyDescent="0.2">
      <c r="A854" s="1">
        <v>1705.7778078078099</v>
      </c>
      <c r="B854" s="1">
        <v>17009.749427961</v>
      </c>
      <c r="C854" s="1"/>
      <c r="D854" s="1"/>
      <c r="E854" s="1" t="b">
        <f>tblTNFa[[#This Row],[NetMFI]]&gt;B853</f>
        <v>1</v>
      </c>
    </row>
    <row r="855" spans="1:5" x14ac:dyDescent="0.2">
      <c r="A855" s="1">
        <v>1707.7793193193199</v>
      </c>
      <c r="B855" s="1">
        <v>17010.342793575401</v>
      </c>
      <c r="C855" s="1"/>
      <c r="D855" s="1"/>
      <c r="E855" s="1" t="b">
        <f>tblTNFa[[#This Row],[NetMFI]]&gt;B854</f>
        <v>1</v>
      </c>
    </row>
    <row r="856" spans="1:5" x14ac:dyDescent="0.2">
      <c r="A856" s="1">
        <v>1709.7808308308299</v>
      </c>
      <c r="B856" s="1">
        <v>17010.934484173002</v>
      </c>
      <c r="C856" s="1"/>
      <c r="D856" s="1"/>
      <c r="E856" s="1" t="b">
        <f>tblTNFa[[#This Row],[NetMFI]]&gt;B855</f>
        <v>1</v>
      </c>
    </row>
    <row r="857" spans="1:5" x14ac:dyDescent="0.2">
      <c r="A857" s="1">
        <v>1711.7823423423399</v>
      </c>
      <c r="B857" s="1">
        <v>17011.524506365298</v>
      </c>
      <c r="C857" s="1"/>
      <c r="D857" s="1"/>
      <c r="E857" s="1" t="b">
        <f>tblTNFa[[#This Row],[NetMFI]]&gt;B856</f>
        <v>1</v>
      </c>
    </row>
    <row r="858" spans="1:5" x14ac:dyDescent="0.2">
      <c r="A858" s="1">
        <v>1713.7838538538499</v>
      </c>
      <c r="B858" s="1">
        <v>17012.112866730498</v>
      </c>
      <c r="C858" s="1"/>
      <c r="D858" s="1"/>
      <c r="E858" s="1" t="b">
        <f>tblTNFa[[#This Row],[NetMFI]]&gt;B857</f>
        <v>1</v>
      </c>
    </row>
    <row r="859" spans="1:5" x14ac:dyDescent="0.2">
      <c r="A859" s="1">
        <v>1715.7853653653699</v>
      </c>
      <c r="B859" s="1">
        <v>17012.6995718135</v>
      </c>
      <c r="C859" s="1"/>
      <c r="D859" s="1"/>
      <c r="E859" s="1" t="b">
        <f>tblTNFa[[#This Row],[NetMFI]]&gt;B858</f>
        <v>1</v>
      </c>
    </row>
    <row r="860" spans="1:5" x14ac:dyDescent="0.2">
      <c r="A860" s="1">
        <v>1717.7868768768799</v>
      </c>
      <c r="B860" s="1">
        <v>17013.284628125901</v>
      </c>
      <c r="C860" s="1"/>
      <c r="D860" s="1"/>
      <c r="E860" s="1" t="b">
        <f>tblTNFa[[#This Row],[NetMFI]]&gt;B859</f>
        <v>1</v>
      </c>
    </row>
    <row r="861" spans="1:5" x14ac:dyDescent="0.2">
      <c r="A861" s="1">
        <v>1719.7883883883901</v>
      </c>
      <c r="B861" s="1">
        <v>17013.8680421469</v>
      </c>
      <c r="C861" s="1"/>
      <c r="D861" s="1"/>
      <c r="E861" s="1" t="b">
        <f>tblTNFa[[#This Row],[NetMFI]]&gt;B860</f>
        <v>1</v>
      </c>
    </row>
    <row r="862" spans="1:5" x14ac:dyDescent="0.2">
      <c r="A862" s="1">
        <v>1721.7898998999001</v>
      </c>
      <c r="B862" s="1">
        <v>17014.449820322599</v>
      </c>
      <c r="C862" s="1"/>
      <c r="D862" s="1"/>
      <c r="E862" s="1" t="b">
        <f>tblTNFa[[#This Row],[NetMFI]]&gt;B861</f>
        <v>1</v>
      </c>
    </row>
    <row r="863" spans="1:5" x14ac:dyDescent="0.2">
      <c r="A863" s="1">
        <v>1723.7914114114101</v>
      </c>
      <c r="B863" s="1">
        <v>17015.029969067</v>
      </c>
      <c r="C863" s="1"/>
      <c r="D863" s="1"/>
      <c r="E863" s="1" t="b">
        <f>tblTNFa[[#This Row],[NetMFI]]&gt;B862</f>
        <v>1</v>
      </c>
    </row>
    <row r="864" spans="1:5" x14ac:dyDescent="0.2">
      <c r="A864" s="1">
        <v>1725.7929229229201</v>
      </c>
      <c r="B864" s="1">
        <v>17015.6084947614</v>
      </c>
      <c r="C864" s="1"/>
      <c r="D864" s="1"/>
      <c r="E864" s="1" t="b">
        <f>tblTNFa[[#This Row],[NetMFI]]&gt;B863</f>
        <v>1</v>
      </c>
    </row>
    <row r="865" spans="1:5" x14ac:dyDescent="0.2">
      <c r="A865" s="1">
        <v>1727.7944344344301</v>
      </c>
      <c r="B865" s="1">
        <v>17016.1854037556</v>
      </c>
      <c r="C865" s="1"/>
      <c r="D865" s="1"/>
      <c r="E865" s="1" t="b">
        <f>tblTNFa[[#This Row],[NetMFI]]&gt;B864</f>
        <v>1</v>
      </c>
    </row>
    <row r="866" spans="1:5" x14ac:dyDescent="0.2">
      <c r="A866" s="1">
        <v>1729.7959459459501</v>
      </c>
      <c r="B866" s="1">
        <v>17016.760702366999</v>
      </c>
      <c r="C866" s="1"/>
      <c r="D866" s="1"/>
      <c r="E866" s="1" t="b">
        <f>tblTNFa[[#This Row],[NetMFI]]&gt;B865</f>
        <v>1</v>
      </c>
    </row>
    <row r="867" spans="1:5" x14ac:dyDescent="0.2">
      <c r="A867" s="1">
        <v>1731.79745745746</v>
      </c>
      <c r="B867" s="1">
        <v>17017.334396881699</v>
      </c>
      <c r="C867" s="1"/>
      <c r="D867" s="1"/>
      <c r="E867" s="1" t="b">
        <f>tblTNFa[[#This Row],[NetMFI]]&gt;B866</f>
        <v>1</v>
      </c>
    </row>
    <row r="868" spans="1:5" x14ac:dyDescent="0.2">
      <c r="A868" s="1">
        <v>1733.79896896897</v>
      </c>
      <c r="B868" s="1">
        <v>17017.906493554201</v>
      </c>
      <c r="C868" s="1"/>
      <c r="D868" s="1"/>
      <c r="E868" s="1" t="b">
        <f>tblTNFa[[#This Row],[NetMFI]]&gt;B867</f>
        <v>1</v>
      </c>
    </row>
    <row r="869" spans="1:5" x14ac:dyDescent="0.2">
      <c r="A869" s="1">
        <v>1735.80048048048</v>
      </c>
      <c r="B869" s="1">
        <v>17018.476998607701</v>
      </c>
      <c r="C869" s="1"/>
      <c r="D869" s="1"/>
      <c r="E869" s="1" t="b">
        <f>tblTNFa[[#This Row],[NetMFI]]&gt;B868</f>
        <v>1</v>
      </c>
    </row>
    <row r="870" spans="1:5" x14ac:dyDescent="0.2">
      <c r="A870" s="1">
        <v>1737.80199199199</v>
      </c>
      <c r="B870" s="1">
        <v>17019.0459182343</v>
      </c>
      <c r="C870" s="1"/>
      <c r="D870" s="1"/>
      <c r="E870" s="1" t="b">
        <f>tblTNFa[[#This Row],[NetMFI]]&gt;B869</f>
        <v>1</v>
      </c>
    </row>
    <row r="871" spans="1:5" x14ac:dyDescent="0.2">
      <c r="A871" s="1">
        <v>1739.8035035035</v>
      </c>
      <c r="B871" s="1">
        <v>17019.6132585952</v>
      </c>
      <c r="C871" s="1"/>
      <c r="D871" s="1"/>
      <c r="E871" s="1" t="b">
        <f>tblTNFa[[#This Row],[NetMFI]]&gt;B870</f>
        <v>1</v>
      </c>
    </row>
    <row r="872" spans="1:5" x14ac:dyDescent="0.2">
      <c r="A872" s="1">
        <v>1741.80501501502</v>
      </c>
      <c r="B872" s="1">
        <v>17020.1790258209</v>
      </c>
      <c r="C872" s="1"/>
      <c r="D872" s="1"/>
      <c r="E872" s="1" t="b">
        <f>tblTNFa[[#This Row],[NetMFI]]&gt;B871</f>
        <v>1</v>
      </c>
    </row>
    <row r="873" spans="1:5" x14ac:dyDescent="0.2">
      <c r="A873" s="1">
        <v>1743.80652652653</v>
      </c>
      <c r="B873" s="1">
        <v>17020.743226011498</v>
      </c>
      <c r="C873" s="1"/>
      <c r="D873" s="1"/>
      <c r="E873" s="1" t="b">
        <f>tblTNFa[[#This Row],[NetMFI]]&gt;B872</f>
        <v>1</v>
      </c>
    </row>
    <row r="874" spans="1:5" x14ac:dyDescent="0.2">
      <c r="A874" s="1">
        <v>1745.80803803804</v>
      </c>
      <c r="B874" s="1">
        <v>17021.305865236602</v>
      </c>
      <c r="C874" s="1"/>
      <c r="D874" s="1"/>
      <c r="E874" s="1" t="b">
        <f>tblTNFa[[#This Row],[NetMFI]]&gt;B873</f>
        <v>1</v>
      </c>
    </row>
    <row r="875" spans="1:5" x14ac:dyDescent="0.2">
      <c r="A875" s="1">
        <v>1747.80954954955</v>
      </c>
      <c r="B875" s="1">
        <v>17021.866949535499</v>
      </c>
      <c r="C875" s="1"/>
      <c r="D875" s="1"/>
      <c r="E875" s="1" t="b">
        <f>tblTNFa[[#This Row],[NetMFI]]&gt;B874</f>
        <v>1</v>
      </c>
    </row>
    <row r="876" spans="1:5" x14ac:dyDescent="0.2">
      <c r="A876" s="1">
        <v>1749.8110610610599</v>
      </c>
      <c r="B876" s="1">
        <v>17022.426484917902</v>
      </c>
      <c r="C876" s="1"/>
      <c r="D876" s="1"/>
      <c r="E876" s="1" t="b">
        <f>tblTNFa[[#This Row],[NetMFI]]&gt;B875</f>
        <v>1</v>
      </c>
    </row>
    <row r="877" spans="1:5" x14ac:dyDescent="0.2">
      <c r="A877" s="1">
        <v>1751.8125725725699</v>
      </c>
      <c r="B877" s="1">
        <v>17022.984477363501</v>
      </c>
      <c r="C877" s="1"/>
      <c r="D877" s="1"/>
      <c r="E877" s="1" t="b">
        <f>tblTNFa[[#This Row],[NetMFI]]&gt;B876</f>
        <v>1</v>
      </c>
    </row>
    <row r="878" spans="1:5" x14ac:dyDescent="0.2">
      <c r="A878" s="1">
        <v>1753.8140840840799</v>
      </c>
      <c r="B878" s="1">
        <v>17023.540932822201</v>
      </c>
      <c r="C878" s="1"/>
      <c r="D878" s="1"/>
      <c r="E878" s="1" t="b">
        <f>tblTNFa[[#This Row],[NetMFI]]&gt;B877</f>
        <v>1</v>
      </c>
    </row>
    <row r="879" spans="1:5" x14ac:dyDescent="0.2">
      <c r="A879" s="1">
        <v>1755.8155955955999</v>
      </c>
      <c r="B879" s="1">
        <v>17024.095857214801</v>
      </c>
      <c r="C879" s="1"/>
      <c r="D879" s="1"/>
      <c r="E879" s="1" t="b">
        <f>tblTNFa[[#This Row],[NetMFI]]&gt;B878</f>
        <v>1</v>
      </c>
    </row>
    <row r="880" spans="1:5" x14ac:dyDescent="0.2">
      <c r="A880" s="1">
        <v>1757.8171071071099</v>
      </c>
      <c r="B880" s="1">
        <v>17024.649256432702</v>
      </c>
      <c r="C880" s="1"/>
      <c r="D880" s="1"/>
      <c r="E880" s="1" t="b">
        <f>tblTNFa[[#This Row],[NetMFI]]&gt;B879</f>
        <v>1</v>
      </c>
    </row>
    <row r="881" spans="1:5" x14ac:dyDescent="0.2">
      <c r="A881" s="1">
        <v>1759.8186186186199</v>
      </c>
      <c r="B881" s="1">
        <v>17025.201136338201</v>
      </c>
      <c r="C881" s="1"/>
      <c r="D881" s="1"/>
      <c r="E881" s="1" t="b">
        <f>tblTNFa[[#This Row],[NetMFI]]&gt;B880</f>
        <v>1</v>
      </c>
    </row>
    <row r="882" spans="1:5" x14ac:dyDescent="0.2">
      <c r="A882" s="1">
        <v>1761.8201301301301</v>
      </c>
      <c r="B882" s="1">
        <v>17025.7515027646</v>
      </c>
      <c r="C882" s="1"/>
      <c r="D882" s="1"/>
      <c r="E882" s="1" t="b">
        <f>tblTNFa[[#This Row],[NetMFI]]&gt;B881</f>
        <v>1</v>
      </c>
    </row>
    <row r="883" spans="1:5" x14ac:dyDescent="0.2">
      <c r="A883" s="1">
        <v>1763.8216416416401</v>
      </c>
      <c r="B883" s="1">
        <v>17026.3003615167</v>
      </c>
      <c r="C883" s="1"/>
      <c r="D883" s="1"/>
      <c r="E883" s="1" t="b">
        <f>tblTNFa[[#This Row],[NetMFI]]&gt;B882</f>
        <v>1</v>
      </c>
    </row>
    <row r="884" spans="1:5" x14ac:dyDescent="0.2">
      <c r="A884" s="1">
        <v>1765.8231531531501</v>
      </c>
      <c r="B884" s="1">
        <v>17026.847718370602</v>
      </c>
      <c r="C884" s="1"/>
      <c r="D884" s="1"/>
      <c r="E884" s="1" t="b">
        <f>tblTNFa[[#This Row],[NetMFI]]&gt;B883</f>
        <v>1</v>
      </c>
    </row>
    <row r="885" spans="1:5" x14ac:dyDescent="0.2">
      <c r="A885" s="1">
        <v>1767.8246646646601</v>
      </c>
      <c r="B885" s="1">
        <v>17027.393579073901</v>
      </c>
      <c r="C885" s="1"/>
      <c r="D885" s="1"/>
      <c r="E885" s="1" t="b">
        <f>tblTNFa[[#This Row],[NetMFI]]&gt;B884</f>
        <v>1</v>
      </c>
    </row>
    <row r="886" spans="1:5" x14ac:dyDescent="0.2">
      <c r="A886" s="1">
        <v>1769.8261761761801</v>
      </c>
      <c r="B886" s="1">
        <v>17027.9379493462</v>
      </c>
      <c r="C886" s="1"/>
      <c r="D886" s="1"/>
      <c r="E886" s="1" t="b">
        <f>tblTNFa[[#This Row],[NetMFI]]&gt;B885</f>
        <v>1</v>
      </c>
    </row>
    <row r="887" spans="1:5" x14ac:dyDescent="0.2">
      <c r="A887" s="1">
        <v>1771.8276876876901</v>
      </c>
      <c r="B887" s="1">
        <v>17028.480834878999</v>
      </c>
      <c r="C887" s="1"/>
      <c r="D887" s="1"/>
      <c r="E887" s="1" t="b">
        <f>tblTNFa[[#This Row],[NetMFI]]&gt;B886</f>
        <v>1</v>
      </c>
    </row>
    <row r="888" spans="1:5" x14ac:dyDescent="0.2">
      <c r="A888" s="1">
        <v>1773.8291991992</v>
      </c>
      <c r="B888" s="1">
        <v>17029.022241335701</v>
      </c>
      <c r="C888" s="1"/>
      <c r="D888" s="1"/>
      <c r="E888" s="1" t="b">
        <f>tblTNFa[[#This Row],[NetMFI]]&gt;B887</f>
        <v>1</v>
      </c>
    </row>
    <row r="889" spans="1:5" x14ac:dyDescent="0.2">
      <c r="A889" s="1">
        <v>1775.83071071071</v>
      </c>
      <c r="B889" s="1">
        <v>17029.562174352301</v>
      </c>
      <c r="C889" s="1"/>
      <c r="D889" s="1"/>
      <c r="E889" s="1" t="b">
        <f>tblTNFa[[#This Row],[NetMFI]]&gt;B888</f>
        <v>1</v>
      </c>
    </row>
    <row r="890" spans="1:5" x14ac:dyDescent="0.2">
      <c r="A890" s="1">
        <v>1777.83222222222</v>
      </c>
      <c r="B890" s="1">
        <v>17030.100639536999</v>
      </c>
      <c r="C890" s="1"/>
      <c r="D890" s="1"/>
      <c r="E890" s="1" t="b">
        <f>tblTNFa[[#This Row],[NetMFI]]&gt;B889</f>
        <v>1</v>
      </c>
    </row>
    <row r="891" spans="1:5" x14ac:dyDescent="0.2">
      <c r="A891" s="1">
        <v>1779.83373373373</v>
      </c>
      <c r="B891" s="1">
        <v>17030.6376424708</v>
      </c>
      <c r="C891" s="1"/>
      <c r="D891" s="1"/>
      <c r="E891" s="1" t="b">
        <f>tblTNFa[[#This Row],[NetMFI]]&gt;B890</f>
        <v>1</v>
      </c>
    </row>
    <row r="892" spans="1:5" x14ac:dyDescent="0.2">
      <c r="A892" s="1">
        <v>1781.83524524525</v>
      </c>
      <c r="B892" s="1">
        <v>17031.173188707398</v>
      </c>
      <c r="C892" s="1"/>
      <c r="D892" s="1"/>
      <c r="E892" s="1" t="b">
        <f>tblTNFa[[#This Row],[NetMFI]]&gt;B891</f>
        <v>1</v>
      </c>
    </row>
    <row r="893" spans="1:5" x14ac:dyDescent="0.2">
      <c r="A893" s="1">
        <v>1783.83675675676</v>
      </c>
      <c r="B893" s="1">
        <v>17031.707283773299</v>
      </c>
      <c r="C893" s="1"/>
      <c r="D893" s="1"/>
      <c r="E893" s="1" t="b">
        <f>tblTNFa[[#This Row],[NetMFI]]&gt;B892</f>
        <v>1</v>
      </c>
    </row>
    <row r="894" spans="1:5" x14ac:dyDescent="0.2">
      <c r="A894" s="1">
        <v>1785.83826826827</v>
      </c>
      <c r="B894" s="1">
        <v>17032.239933168199</v>
      </c>
      <c r="C894" s="1"/>
      <c r="D894" s="1"/>
      <c r="E894" s="1" t="b">
        <f>tblTNFa[[#This Row],[NetMFI]]&gt;B893</f>
        <v>1</v>
      </c>
    </row>
    <row r="895" spans="1:5" x14ac:dyDescent="0.2">
      <c r="A895" s="1">
        <v>1787.83977977978</v>
      </c>
      <c r="B895" s="1">
        <v>17032.771142365302</v>
      </c>
      <c r="C895" s="1"/>
      <c r="D895" s="1"/>
      <c r="E895" s="1" t="b">
        <f>tblTNFa[[#This Row],[NetMFI]]&gt;B894</f>
        <v>1</v>
      </c>
    </row>
    <row r="896" spans="1:5" x14ac:dyDescent="0.2">
      <c r="A896" s="1">
        <v>1789.84129129129</v>
      </c>
      <c r="B896" s="1">
        <v>17033.3009168108</v>
      </c>
      <c r="C896" s="1"/>
      <c r="D896" s="1"/>
      <c r="E896" s="1" t="b">
        <f>tblTNFa[[#This Row],[NetMFI]]&gt;B895</f>
        <v>1</v>
      </c>
    </row>
    <row r="897" spans="1:5" x14ac:dyDescent="0.2">
      <c r="A897" s="1">
        <v>1791.8428028028</v>
      </c>
      <c r="B897" s="1">
        <v>17033.829261924799</v>
      </c>
      <c r="C897" s="1"/>
      <c r="D897" s="1"/>
      <c r="E897" s="1" t="b">
        <f>tblTNFa[[#This Row],[NetMFI]]&gt;B896</f>
        <v>1</v>
      </c>
    </row>
    <row r="898" spans="1:5" x14ac:dyDescent="0.2">
      <c r="A898" s="1">
        <v>1793.8443143143099</v>
      </c>
      <c r="B898" s="1">
        <v>17034.356183100899</v>
      </c>
      <c r="C898" s="1"/>
      <c r="D898" s="1"/>
      <c r="E898" s="1" t="b">
        <f>tblTNFa[[#This Row],[NetMFI]]&gt;B897</f>
        <v>1</v>
      </c>
    </row>
    <row r="899" spans="1:5" x14ac:dyDescent="0.2">
      <c r="A899" s="1">
        <v>1795.8458258258299</v>
      </c>
      <c r="B899" s="1">
        <v>17034.881685706801</v>
      </c>
      <c r="C899" s="1"/>
      <c r="D899" s="1"/>
      <c r="E899" s="1" t="b">
        <f>tblTNFa[[#This Row],[NetMFI]]&gt;B898</f>
        <v>1</v>
      </c>
    </row>
    <row r="900" spans="1:5" x14ac:dyDescent="0.2">
      <c r="A900" s="1">
        <v>1797.8473373373399</v>
      </c>
      <c r="B900" s="1">
        <v>17035.405775084</v>
      </c>
      <c r="C900" s="1"/>
      <c r="D900" s="1"/>
      <c r="E900" s="1" t="b">
        <f>tblTNFa[[#This Row],[NetMFI]]&gt;B899</f>
        <v>1</v>
      </c>
    </row>
    <row r="901" spans="1:5" x14ac:dyDescent="0.2">
      <c r="A901" s="1">
        <v>1799.8488488488499</v>
      </c>
      <c r="B901" s="1">
        <v>17035.928456548401</v>
      </c>
      <c r="C901" s="1"/>
      <c r="D901" s="1"/>
      <c r="E901" s="1" t="b">
        <f>tblTNFa[[#This Row],[NetMFI]]&gt;B900</f>
        <v>1</v>
      </c>
    </row>
    <row r="902" spans="1:5" x14ac:dyDescent="0.2">
      <c r="A902" s="1">
        <v>1801.8503603603599</v>
      </c>
      <c r="B902" s="1">
        <v>17036.449735390201</v>
      </c>
      <c r="C902" s="1"/>
      <c r="D902" s="1"/>
      <c r="E902" s="1" t="b">
        <f>tblTNFa[[#This Row],[NetMFI]]&gt;B901</f>
        <v>1</v>
      </c>
    </row>
    <row r="903" spans="1:5" x14ac:dyDescent="0.2">
      <c r="A903" s="1">
        <v>1803.8518718718699</v>
      </c>
      <c r="B903" s="1">
        <v>17036.969616874001</v>
      </c>
      <c r="C903" s="1"/>
      <c r="D903" s="1"/>
      <c r="E903" s="1" t="b">
        <f>tblTNFa[[#This Row],[NetMFI]]&gt;B902</f>
        <v>1</v>
      </c>
    </row>
    <row r="904" spans="1:5" x14ac:dyDescent="0.2">
      <c r="A904" s="1">
        <v>1805.8533833833801</v>
      </c>
      <c r="B904" s="1">
        <v>17037.4881062391</v>
      </c>
      <c r="C904" s="1"/>
      <c r="D904" s="1"/>
      <c r="E904" s="1" t="b">
        <f>tblTNFa[[#This Row],[NetMFI]]&gt;B903</f>
        <v>1</v>
      </c>
    </row>
    <row r="905" spans="1:5" x14ac:dyDescent="0.2">
      <c r="A905" s="1">
        <v>1807.8548948949001</v>
      </c>
      <c r="B905" s="1">
        <v>17038.0052086996</v>
      </c>
      <c r="C905" s="1"/>
      <c r="D905" s="1"/>
      <c r="E905" s="1" t="b">
        <f>tblTNFa[[#This Row],[NetMFI]]&gt;B904</f>
        <v>1</v>
      </c>
    </row>
    <row r="906" spans="1:5" x14ac:dyDescent="0.2">
      <c r="A906" s="1">
        <v>1809.8564064064101</v>
      </c>
      <c r="B906" s="1">
        <v>17038.520929444701</v>
      </c>
      <c r="C906" s="1"/>
      <c r="D906" s="1"/>
      <c r="E906" s="1" t="b">
        <f>tblTNFa[[#This Row],[NetMFI]]&gt;B905</f>
        <v>1</v>
      </c>
    </row>
    <row r="907" spans="1:5" x14ac:dyDescent="0.2">
      <c r="A907" s="1">
        <v>1811.8579179179201</v>
      </c>
      <c r="B907" s="1">
        <v>17039.035273638299</v>
      </c>
      <c r="C907" s="1"/>
      <c r="D907" s="1"/>
      <c r="E907" s="1" t="b">
        <f>tblTNFa[[#This Row],[NetMFI]]&gt;B906</f>
        <v>1</v>
      </c>
    </row>
    <row r="908" spans="1:5" x14ac:dyDescent="0.2">
      <c r="A908" s="1">
        <v>1813.8594294294301</v>
      </c>
      <c r="B908" s="1">
        <v>17039.548246419901</v>
      </c>
      <c r="C908" s="1"/>
      <c r="D908" s="1"/>
      <c r="E908" s="1" t="b">
        <f>tblTNFa[[#This Row],[NetMFI]]&gt;B907</f>
        <v>1</v>
      </c>
    </row>
    <row r="909" spans="1:5" x14ac:dyDescent="0.2">
      <c r="A909" s="1">
        <v>1815.8609409409401</v>
      </c>
      <c r="B909" s="1">
        <v>17040.059852904302</v>
      </c>
      <c r="C909" s="1"/>
      <c r="D909" s="1"/>
      <c r="E909" s="1" t="b">
        <f>tblTNFa[[#This Row],[NetMFI]]&gt;B908</f>
        <v>1</v>
      </c>
    </row>
    <row r="910" spans="1:5" x14ac:dyDescent="0.2">
      <c r="A910" s="1">
        <v>1817.86245245245</v>
      </c>
      <c r="B910" s="1">
        <v>17040.570098181699</v>
      </c>
      <c r="C910" s="1"/>
      <c r="D910" s="1"/>
      <c r="E910" s="1" t="b">
        <f>tblTNFa[[#This Row],[NetMFI]]&gt;B909</f>
        <v>1</v>
      </c>
    </row>
    <row r="911" spans="1:5" x14ac:dyDescent="0.2">
      <c r="A911" s="1">
        <v>1819.86396396396</v>
      </c>
      <c r="B911" s="1">
        <v>17041.078987318</v>
      </c>
      <c r="C911" s="1"/>
      <c r="D911" s="1"/>
      <c r="E911" s="1" t="b">
        <f>tblTNFa[[#This Row],[NetMFI]]&gt;B910</f>
        <v>1</v>
      </c>
    </row>
    <row r="912" spans="1:5" x14ac:dyDescent="0.2">
      <c r="A912" s="1">
        <v>1821.86547547548</v>
      </c>
      <c r="B912" s="1">
        <v>17041.586525355</v>
      </c>
      <c r="C912" s="1"/>
      <c r="D912" s="1"/>
      <c r="E912" s="1" t="b">
        <f>tblTNFa[[#This Row],[NetMFI]]&gt;B911</f>
        <v>1</v>
      </c>
    </row>
    <row r="913" spans="1:5" x14ac:dyDescent="0.2">
      <c r="A913" s="1">
        <v>1823.86698698699</v>
      </c>
      <c r="B913" s="1">
        <v>17042.092717310501</v>
      </c>
      <c r="C913" s="1"/>
      <c r="D913" s="1"/>
      <c r="E913" s="1" t="b">
        <f>tblTNFa[[#This Row],[NetMFI]]&gt;B912</f>
        <v>1</v>
      </c>
    </row>
    <row r="914" spans="1:5" x14ac:dyDescent="0.2">
      <c r="A914" s="1">
        <v>1825.8684984985</v>
      </c>
      <c r="B914" s="1">
        <v>17042.597568178098</v>
      </c>
      <c r="C914" s="1"/>
      <c r="D914" s="1"/>
      <c r="E914" s="1" t="b">
        <f>tblTNFa[[#This Row],[NetMFI]]&gt;B913</f>
        <v>1</v>
      </c>
    </row>
    <row r="915" spans="1:5" x14ac:dyDescent="0.2">
      <c r="A915" s="1">
        <v>1827.87001001001</v>
      </c>
      <c r="B915" s="1">
        <v>17043.1010829279</v>
      </c>
      <c r="C915" s="1"/>
      <c r="D915" s="1"/>
      <c r="E915" s="1" t="b">
        <f>tblTNFa[[#This Row],[NetMFI]]&gt;B914</f>
        <v>1</v>
      </c>
    </row>
    <row r="916" spans="1:5" x14ac:dyDescent="0.2">
      <c r="A916" s="1">
        <v>1829.87152152152</v>
      </c>
      <c r="B916" s="1">
        <v>17043.603266506299</v>
      </c>
      <c r="C916" s="1"/>
      <c r="D916" s="1"/>
      <c r="E916" s="1" t="b">
        <f>tblTNFa[[#This Row],[NetMFI]]&gt;B915</f>
        <v>1</v>
      </c>
    </row>
    <row r="917" spans="1:5" x14ac:dyDescent="0.2">
      <c r="A917" s="1">
        <v>1831.87303303303</v>
      </c>
      <c r="B917" s="1">
        <v>17044.104123836201</v>
      </c>
      <c r="C917" s="1"/>
      <c r="D917" s="1"/>
      <c r="E917" s="1" t="b">
        <f>tblTNFa[[#This Row],[NetMFI]]&gt;B916</f>
        <v>1</v>
      </c>
    </row>
    <row r="918" spans="1:5" x14ac:dyDescent="0.2">
      <c r="A918" s="1">
        <v>1833.87454454454</v>
      </c>
      <c r="B918" s="1">
        <v>17044.603659816999</v>
      </c>
      <c r="C918" s="1"/>
      <c r="D918" s="1"/>
      <c r="E918" s="1" t="b">
        <f>tblTNFa[[#This Row],[NetMFI]]&gt;B917</f>
        <v>1</v>
      </c>
    </row>
    <row r="919" spans="1:5" x14ac:dyDescent="0.2">
      <c r="A919" s="1">
        <v>1835.87605605606</v>
      </c>
      <c r="B919" s="1">
        <v>17045.101879325201</v>
      </c>
      <c r="C919" s="1"/>
      <c r="D919" s="1"/>
      <c r="E919" s="1" t="b">
        <f>tblTNFa[[#This Row],[NetMFI]]&gt;B918</f>
        <v>1</v>
      </c>
    </row>
    <row r="920" spans="1:5" x14ac:dyDescent="0.2">
      <c r="A920" s="1">
        <v>1837.8775675675699</v>
      </c>
      <c r="B920" s="1">
        <v>17045.598787213799</v>
      </c>
      <c r="C920" s="1"/>
      <c r="D920" s="1"/>
      <c r="E920" s="1" t="b">
        <f>tblTNFa[[#This Row],[NetMFI]]&gt;B919</f>
        <v>1</v>
      </c>
    </row>
    <row r="921" spans="1:5" x14ac:dyDescent="0.2">
      <c r="A921" s="1">
        <v>1839.8790790790799</v>
      </c>
      <c r="B921" s="1">
        <v>17046.094388313199</v>
      </c>
      <c r="C921" s="1"/>
      <c r="D921" s="1"/>
      <c r="E921" s="1" t="b">
        <f>tblTNFa[[#This Row],[NetMFI]]&gt;B920</f>
        <v>1</v>
      </c>
    </row>
    <row r="922" spans="1:5" x14ac:dyDescent="0.2">
      <c r="A922" s="1">
        <v>1841.8805905905899</v>
      </c>
      <c r="B922" s="1">
        <v>17046.588687430802</v>
      </c>
      <c r="C922" s="1"/>
      <c r="D922" s="1"/>
      <c r="E922" s="1" t="b">
        <f>tblTNFa[[#This Row],[NetMFI]]&gt;B921</f>
        <v>1</v>
      </c>
    </row>
    <row r="923" spans="1:5" x14ac:dyDescent="0.2">
      <c r="A923" s="1">
        <v>1843.8821021020999</v>
      </c>
      <c r="B923" s="1">
        <v>17047.0816893513</v>
      </c>
      <c r="C923" s="1"/>
      <c r="D923" s="1"/>
      <c r="E923" s="1" t="b">
        <f>tblTNFa[[#This Row],[NetMFI]]&gt;B922</f>
        <v>1</v>
      </c>
    </row>
    <row r="924" spans="1:5" x14ac:dyDescent="0.2">
      <c r="A924" s="1">
        <v>1845.8836136136099</v>
      </c>
      <c r="B924" s="1">
        <v>17047.573398836801</v>
      </c>
      <c r="C924" s="1"/>
      <c r="D924" s="1"/>
      <c r="E924" s="1" t="b">
        <f>tblTNFa[[#This Row],[NetMFI]]&gt;B923</f>
        <v>1</v>
      </c>
    </row>
    <row r="925" spans="1:5" x14ac:dyDescent="0.2">
      <c r="A925" s="1">
        <v>1847.8851251251299</v>
      </c>
      <c r="B925" s="1">
        <v>17048.0638206271</v>
      </c>
      <c r="C925" s="1"/>
      <c r="D925" s="1"/>
      <c r="E925" s="1" t="b">
        <f>tblTNFa[[#This Row],[NetMFI]]&gt;B924</f>
        <v>1</v>
      </c>
    </row>
    <row r="926" spans="1:5" x14ac:dyDescent="0.2">
      <c r="A926" s="1">
        <v>1849.8866366366401</v>
      </c>
      <c r="B926" s="1">
        <v>17048.552959439701</v>
      </c>
      <c r="C926" s="1"/>
      <c r="D926" s="1"/>
      <c r="E926" s="1" t="b">
        <f>tblTNFa[[#This Row],[NetMFI]]&gt;B925</f>
        <v>1</v>
      </c>
    </row>
    <row r="927" spans="1:5" x14ac:dyDescent="0.2">
      <c r="A927" s="1">
        <v>1851.8881481481501</v>
      </c>
      <c r="B927" s="1">
        <v>17049.040819969701</v>
      </c>
      <c r="C927" s="1"/>
      <c r="D927" s="1"/>
      <c r="E927" s="1" t="b">
        <f>tblTNFa[[#This Row],[NetMFI]]&gt;B926</f>
        <v>1</v>
      </c>
    </row>
    <row r="928" spans="1:5" x14ac:dyDescent="0.2">
      <c r="A928" s="1">
        <v>1853.8896596596601</v>
      </c>
      <c r="B928" s="1">
        <v>17049.5274068904</v>
      </c>
      <c r="C928" s="1"/>
      <c r="D928" s="1"/>
      <c r="E928" s="1" t="b">
        <f>tblTNFa[[#This Row],[NetMFI]]&gt;B927</f>
        <v>1</v>
      </c>
    </row>
    <row r="929" spans="1:5" x14ac:dyDescent="0.2">
      <c r="A929" s="1">
        <v>1855.8911711711701</v>
      </c>
      <c r="B929" s="1">
        <v>17050.012724853001</v>
      </c>
      <c r="C929" s="1"/>
      <c r="D929" s="1"/>
      <c r="E929" s="1" t="b">
        <f>tblTNFa[[#This Row],[NetMFI]]&gt;B928</f>
        <v>1</v>
      </c>
    </row>
    <row r="930" spans="1:5" x14ac:dyDescent="0.2">
      <c r="A930" s="1">
        <v>1857.8926826826801</v>
      </c>
      <c r="B930" s="1">
        <v>17050.496778487101</v>
      </c>
      <c r="C930" s="1"/>
      <c r="D930" s="1"/>
      <c r="E930" s="1" t="b">
        <f>tblTNFa[[#This Row],[NetMFI]]&gt;B929</f>
        <v>1</v>
      </c>
    </row>
    <row r="931" spans="1:5" x14ac:dyDescent="0.2">
      <c r="A931" s="1">
        <v>1859.89419419419</v>
      </c>
      <c r="B931" s="1">
        <v>17050.979572400302</v>
      </c>
      <c r="C931" s="1"/>
      <c r="D931" s="1"/>
      <c r="E931" s="1" t="b">
        <f>tblTNFa[[#This Row],[NetMFI]]&gt;B930</f>
        <v>1</v>
      </c>
    </row>
    <row r="932" spans="1:5" x14ac:dyDescent="0.2">
      <c r="A932" s="1">
        <v>1861.89570570571</v>
      </c>
      <c r="B932" s="1">
        <v>17051.461111179098</v>
      </c>
      <c r="C932" s="1"/>
      <c r="D932" s="1"/>
      <c r="E932" s="1" t="b">
        <f>tblTNFa[[#This Row],[NetMFI]]&gt;B931</f>
        <v>1</v>
      </c>
    </row>
    <row r="933" spans="1:5" x14ac:dyDescent="0.2">
      <c r="A933" s="1">
        <v>1863.89721721722</v>
      </c>
      <c r="B933" s="1">
        <v>17051.941399388201</v>
      </c>
      <c r="C933" s="1"/>
      <c r="D933" s="1"/>
      <c r="E933" s="1" t="b">
        <f>tblTNFa[[#This Row],[NetMFI]]&gt;B932</f>
        <v>1</v>
      </c>
    </row>
    <row r="934" spans="1:5" x14ac:dyDescent="0.2">
      <c r="A934" s="1">
        <v>1865.89872872873</v>
      </c>
      <c r="B934" s="1">
        <v>17052.420441571099</v>
      </c>
      <c r="C934" s="1"/>
      <c r="D934" s="1"/>
      <c r="E934" s="1" t="b">
        <f>tblTNFa[[#This Row],[NetMFI]]&gt;B933</f>
        <v>1</v>
      </c>
    </row>
    <row r="935" spans="1:5" x14ac:dyDescent="0.2">
      <c r="A935" s="1">
        <v>1867.90024024024</v>
      </c>
      <c r="B935" s="1">
        <v>17052.898242250099</v>
      </c>
      <c r="C935" s="1"/>
      <c r="D935" s="1"/>
      <c r="E935" s="1" t="b">
        <f>tblTNFa[[#This Row],[NetMFI]]&gt;B934</f>
        <v>1</v>
      </c>
    </row>
    <row r="936" spans="1:5" x14ac:dyDescent="0.2">
      <c r="A936" s="1">
        <v>1869.90175175175</v>
      </c>
      <c r="B936" s="1">
        <v>17053.3748059266</v>
      </c>
      <c r="C936" s="1"/>
      <c r="D936" s="1"/>
      <c r="E936" s="1" t="b">
        <f>tblTNFa[[#This Row],[NetMFI]]&gt;B935</f>
        <v>1</v>
      </c>
    </row>
    <row r="937" spans="1:5" x14ac:dyDescent="0.2">
      <c r="A937" s="1">
        <v>1871.90326326326</v>
      </c>
      <c r="B937" s="1">
        <v>17053.850137080899</v>
      </c>
      <c r="C937" s="1"/>
      <c r="D937" s="1"/>
      <c r="E937" s="1" t="b">
        <f>tblTNFa[[#This Row],[NetMFI]]&gt;B936</f>
        <v>1</v>
      </c>
    </row>
    <row r="938" spans="1:5" x14ac:dyDescent="0.2">
      <c r="A938" s="1">
        <v>1873.90477477477</v>
      </c>
      <c r="B938" s="1">
        <v>17054.324240172398</v>
      </c>
      <c r="C938" s="1"/>
      <c r="D938" s="1"/>
      <c r="E938" s="1" t="b">
        <f>tblTNFa[[#This Row],[NetMFI]]&gt;B937</f>
        <v>1</v>
      </c>
    </row>
    <row r="939" spans="1:5" x14ac:dyDescent="0.2">
      <c r="A939" s="1">
        <v>1875.90628628629</v>
      </c>
      <c r="B939" s="1">
        <v>17054.797119640101</v>
      </c>
      <c r="C939" s="1"/>
      <c r="D939" s="1"/>
      <c r="E939" s="1" t="b">
        <f>tblTNFa[[#This Row],[NetMFI]]&gt;B938</f>
        <v>1</v>
      </c>
    </row>
    <row r="940" spans="1:5" x14ac:dyDescent="0.2">
      <c r="A940" s="1">
        <v>1877.9077977978</v>
      </c>
      <c r="B940" s="1">
        <v>17055.268779901999</v>
      </c>
      <c r="C940" s="1"/>
      <c r="D940" s="1"/>
      <c r="E940" s="1" t="b">
        <f>tblTNFa[[#This Row],[NetMFI]]&gt;B939</f>
        <v>1</v>
      </c>
    </row>
    <row r="941" spans="1:5" x14ac:dyDescent="0.2">
      <c r="A941" s="1">
        <v>1879.9093093093099</v>
      </c>
      <c r="B941" s="1">
        <v>17055.739225355901</v>
      </c>
      <c r="C941" s="1"/>
      <c r="D941" s="1"/>
      <c r="E941" s="1" t="b">
        <f>tblTNFa[[#This Row],[NetMFI]]&gt;B940</f>
        <v>1</v>
      </c>
    </row>
    <row r="942" spans="1:5" x14ac:dyDescent="0.2">
      <c r="A942" s="1">
        <v>1881.9108208208199</v>
      </c>
      <c r="B942" s="1">
        <v>17056.208460379301</v>
      </c>
      <c r="C942" s="1"/>
      <c r="D942" s="1"/>
      <c r="E942" s="1" t="b">
        <f>tblTNFa[[#This Row],[NetMFI]]&gt;B941</f>
        <v>1</v>
      </c>
    </row>
    <row r="943" spans="1:5" x14ac:dyDescent="0.2">
      <c r="A943" s="1">
        <v>1883.9123323323299</v>
      </c>
      <c r="B943" s="1">
        <v>17056.6764893291</v>
      </c>
      <c r="C943" s="1"/>
      <c r="D943" s="1"/>
      <c r="E943" s="1" t="b">
        <f>tblTNFa[[#This Row],[NetMFI]]&gt;B942</f>
        <v>1</v>
      </c>
    </row>
    <row r="944" spans="1:5" x14ac:dyDescent="0.2">
      <c r="A944" s="1">
        <v>1885.9138438438399</v>
      </c>
      <c r="B944" s="1">
        <v>17057.143316542599</v>
      </c>
      <c r="C944" s="1"/>
      <c r="D944" s="1"/>
      <c r="E944" s="1" t="b">
        <f>tblTNFa[[#This Row],[NetMFI]]&gt;B943</f>
        <v>1</v>
      </c>
    </row>
    <row r="945" spans="1:5" x14ac:dyDescent="0.2">
      <c r="A945" s="1">
        <v>1887.9153553553599</v>
      </c>
      <c r="B945" s="1">
        <v>17057.608946336601</v>
      </c>
      <c r="C945" s="1"/>
      <c r="D945" s="1"/>
      <c r="E945" s="1" t="b">
        <f>tblTNFa[[#This Row],[NetMFI]]&gt;B944</f>
        <v>1</v>
      </c>
    </row>
    <row r="946" spans="1:5" x14ac:dyDescent="0.2">
      <c r="A946" s="1">
        <v>1889.9168668668699</v>
      </c>
      <c r="B946" s="1">
        <v>17058.073383008199</v>
      </c>
      <c r="C946" s="1"/>
      <c r="D946" s="1"/>
      <c r="E946" s="1" t="b">
        <f>tblTNFa[[#This Row],[NetMFI]]&gt;B945</f>
        <v>1</v>
      </c>
    </row>
    <row r="947" spans="1:5" x14ac:dyDescent="0.2">
      <c r="A947" s="1">
        <v>1891.9183783783801</v>
      </c>
      <c r="B947" s="1">
        <v>17058.5366308347</v>
      </c>
      <c r="C947" s="1"/>
      <c r="D947" s="1"/>
      <c r="E947" s="1" t="b">
        <f>tblTNFa[[#This Row],[NetMFI]]&gt;B946</f>
        <v>1</v>
      </c>
    </row>
    <row r="948" spans="1:5" x14ac:dyDescent="0.2">
      <c r="A948" s="1">
        <v>1893.9198898898901</v>
      </c>
      <c r="B948" s="1">
        <v>17058.998694073802</v>
      </c>
      <c r="C948" s="1"/>
      <c r="D948" s="1"/>
      <c r="E948" s="1" t="b">
        <f>tblTNFa[[#This Row],[NetMFI]]&gt;B947</f>
        <v>1</v>
      </c>
    </row>
    <row r="949" spans="1:5" x14ac:dyDescent="0.2">
      <c r="A949" s="1">
        <v>1895.9214014014001</v>
      </c>
      <c r="B949" s="1">
        <v>17059.459576963502</v>
      </c>
      <c r="C949" s="1"/>
      <c r="D949" s="1"/>
      <c r="E949" s="1" t="b">
        <f>tblTNFa[[#This Row],[NetMFI]]&gt;B948</f>
        <v>1</v>
      </c>
    </row>
    <row r="950" spans="1:5" x14ac:dyDescent="0.2">
      <c r="A950" s="1">
        <v>1897.9229129129101</v>
      </c>
      <c r="B950" s="1">
        <v>17059.919283722498</v>
      </c>
      <c r="C950" s="1"/>
      <c r="D950" s="1"/>
      <c r="E950" s="1" t="b">
        <f>tblTNFa[[#This Row],[NetMFI]]&gt;B949</f>
        <v>1</v>
      </c>
    </row>
    <row r="951" spans="1:5" x14ac:dyDescent="0.2">
      <c r="A951" s="1">
        <v>1899.9244244244201</v>
      </c>
      <c r="B951" s="1">
        <v>17060.377818549801</v>
      </c>
      <c r="C951" s="1"/>
      <c r="D951" s="1"/>
      <c r="E951" s="1" t="b">
        <f>tblTNFa[[#This Row],[NetMFI]]&gt;B950</f>
        <v>1</v>
      </c>
    </row>
    <row r="952" spans="1:5" x14ac:dyDescent="0.2">
      <c r="A952" s="1">
        <v>1901.9259359359401</v>
      </c>
      <c r="B952" s="1">
        <v>17060.835185625601</v>
      </c>
      <c r="C952" s="1"/>
      <c r="D952" s="1"/>
      <c r="E952" s="1" t="b">
        <f>tblTNFa[[#This Row],[NetMFI]]&gt;B951</f>
        <v>1</v>
      </c>
    </row>
    <row r="953" spans="1:5" x14ac:dyDescent="0.2">
      <c r="A953" s="1">
        <v>1903.92744744745</v>
      </c>
      <c r="B953" s="1">
        <v>17061.2913891108</v>
      </c>
      <c r="C953" s="1"/>
      <c r="D953" s="1"/>
      <c r="E953" s="1" t="b">
        <f>tblTNFa[[#This Row],[NetMFI]]&gt;B952</f>
        <v>1</v>
      </c>
    </row>
    <row r="954" spans="1:5" x14ac:dyDescent="0.2">
      <c r="A954" s="1">
        <v>1905.92895895896</v>
      </c>
      <c r="B954" s="1">
        <v>17061.746433147098</v>
      </c>
      <c r="C954" s="1"/>
      <c r="D954" s="1"/>
      <c r="E954" s="1" t="b">
        <f>tblTNFa[[#This Row],[NetMFI]]&gt;B953</f>
        <v>1</v>
      </c>
    </row>
    <row r="955" spans="1:5" x14ac:dyDescent="0.2">
      <c r="A955" s="1">
        <v>1907.93047047047</v>
      </c>
      <c r="B955" s="1">
        <v>17062.200321857399</v>
      </c>
      <c r="C955" s="1"/>
      <c r="D955" s="1"/>
      <c r="E955" s="1" t="b">
        <f>tblTNFa[[#This Row],[NetMFI]]&gt;B954</f>
        <v>1</v>
      </c>
    </row>
    <row r="956" spans="1:5" x14ac:dyDescent="0.2">
      <c r="A956" s="1">
        <v>1909.93198198198</v>
      </c>
      <c r="B956" s="1">
        <v>17062.653059345899</v>
      </c>
      <c r="C956" s="1"/>
      <c r="D956" s="1"/>
      <c r="E956" s="1" t="b">
        <f>tblTNFa[[#This Row],[NetMFI]]&gt;B955</f>
        <v>1</v>
      </c>
    </row>
    <row r="957" spans="1:5" x14ac:dyDescent="0.2">
      <c r="A957" s="1">
        <v>1911.93349349349</v>
      </c>
      <c r="B957" s="1">
        <v>17063.104649698002</v>
      </c>
      <c r="C957" s="1"/>
      <c r="D957" s="1"/>
      <c r="E957" s="1" t="b">
        <f>tblTNFa[[#This Row],[NetMFI]]&gt;B956</f>
        <v>1</v>
      </c>
    </row>
    <row r="958" spans="1:5" x14ac:dyDescent="0.2">
      <c r="A958" s="1">
        <v>1913.93500500501</v>
      </c>
      <c r="B958" s="1">
        <v>17063.555096980501</v>
      </c>
      <c r="C958" s="1"/>
      <c r="D958" s="1"/>
      <c r="E958" s="1" t="b">
        <f>tblTNFa[[#This Row],[NetMFI]]&gt;B957</f>
        <v>1</v>
      </c>
    </row>
    <row r="959" spans="1:5" x14ac:dyDescent="0.2">
      <c r="A959" s="1">
        <v>1915.93651651652</v>
      </c>
      <c r="B959" s="1">
        <v>17064.0044052415</v>
      </c>
      <c r="C959" s="1"/>
      <c r="D959" s="1"/>
      <c r="E959" s="1" t="b">
        <f>tblTNFa[[#This Row],[NetMFI]]&gt;B958</f>
        <v>1</v>
      </c>
    </row>
    <row r="960" spans="1:5" x14ac:dyDescent="0.2">
      <c r="A960" s="1">
        <v>1917.93802802803</v>
      </c>
      <c r="B960" s="1">
        <v>17064.4525785111</v>
      </c>
      <c r="C960" s="1"/>
      <c r="D960" s="1"/>
      <c r="E960" s="1" t="b">
        <f>tblTNFa[[#This Row],[NetMFI]]&gt;B959</f>
        <v>1</v>
      </c>
    </row>
    <row r="961" spans="1:5" x14ac:dyDescent="0.2">
      <c r="A961" s="1">
        <v>1919.93953953954</v>
      </c>
      <c r="B961" s="1">
        <v>17064.899620800701</v>
      </c>
      <c r="C961" s="1"/>
      <c r="D961" s="1"/>
      <c r="E961" s="1" t="b">
        <f>tblTNFa[[#This Row],[NetMFI]]&gt;B960</f>
        <v>1</v>
      </c>
    </row>
    <row r="962" spans="1:5" x14ac:dyDescent="0.2">
      <c r="A962" s="1">
        <v>1921.94105105105</v>
      </c>
      <c r="B962" s="1">
        <v>17065.3455361038</v>
      </c>
      <c r="C962" s="1"/>
      <c r="D962" s="1"/>
      <c r="E962" s="1" t="b">
        <f>tblTNFa[[#This Row],[NetMFI]]&gt;B961</f>
        <v>1</v>
      </c>
    </row>
    <row r="963" spans="1:5" x14ac:dyDescent="0.2">
      <c r="A963" s="1">
        <v>1923.9425625625599</v>
      </c>
      <c r="B963" s="1">
        <v>17065.7903283956</v>
      </c>
      <c r="C963" s="1"/>
      <c r="D963" s="1"/>
      <c r="E963" s="1" t="b">
        <f>tblTNFa[[#This Row],[NetMFI]]&gt;B962</f>
        <v>1</v>
      </c>
    </row>
    <row r="964" spans="1:5" x14ac:dyDescent="0.2">
      <c r="A964" s="1">
        <v>1925.9440740740699</v>
      </c>
      <c r="B964" s="1">
        <v>17066.2340016335</v>
      </c>
      <c r="C964" s="1"/>
      <c r="D964" s="1"/>
      <c r="E964" s="1" t="b">
        <f>tblTNFa[[#This Row],[NetMFI]]&gt;B963</f>
        <v>1</v>
      </c>
    </row>
    <row r="965" spans="1:5" x14ac:dyDescent="0.2">
      <c r="A965" s="1">
        <v>1927.9455855855899</v>
      </c>
      <c r="B965" s="1">
        <v>17066.676559756801</v>
      </c>
      <c r="C965" s="1"/>
      <c r="D965" s="1"/>
      <c r="E965" s="1" t="b">
        <f>tblTNFa[[#This Row],[NetMFI]]&gt;B964</f>
        <v>1</v>
      </c>
    </row>
    <row r="966" spans="1:5" x14ac:dyDescent="0.2">
      <c r="A966" s="1">
        <v>1929.9470970970999</v>
      </c>
      <c r="B966" s="1">
        <v>17067.118006687098</v>
      </c>
      <c r="C966" s="1"/>
      <c r="D966" s="1"/>
      <c r="E966" s="1" t="b">
        <f>tblTNFa[[#This Row],[NetMFI]]&gt;B965</f>
        <v>1</v>
      </c>
    </row>
    <row r="967" spans="1:5" x14ac:dyDescent="0.2">
      <c r="A967" s="1">
        <v>1931.9486086086099</v>
      </c>
      <c r="B967" s="1">
        <v>17067.558346328198</v>
      </c>
      <c r="C967" s="1"/>
      <c r="D967" s="1"/>
      <c r="E967" s="1" t="b">
        <f>tblTNFa[[#This Row],[NetMFI]]&gt;B966</f>
        <v>1</v>
      </c>
    </row>
    <row r="968" spans="1:5" x14ac:dyDescent="0.2">
      <c r="A968" s="1">
        <v>1933.9501201201199</v>
      </c>
      <c r="B968" s="1">
        <v>17067.997582566601</v>
      </c>
      <c r="C968" s="1"/>
      <c r="D968" s="1"/>
      <c r="E968" s="1" t="b">
        <f>tblTNFa[[#This Row],[NetMFI]]&gt;B967</f>
        <v>1</v>
      </c>
    </row>
    <row r="969" spans="1:5" x14ac:dyDescent="0.2">
      <c r="A969" s="1">
        <v>1935.9516316316301</v>
      </c>
      <c r="B969" s="1">
        <v>17068.435719270801</v>
      </c>
      <c r="C969" s="1"/>
      <c r="D969" s="1"/>
      <c r="E969" s="1" t="b">
        <f>tblTNFa[[#This Row],[NetMFI]]&gt;B968</f>
        <v>1</v>
      </c>
    </row>
    <row r="970" spans="1:5" x14ac:dyDescent="0.2">
      <c r="A970" s="1">
        <v>1937.9531431431401</v>
      </c>
      <c r="B970" s="1">
        <v>17068.872760292401</v>
      </c>
      <c r="C970" s="1"/>
      <c r="D970" s="1"/>
      <c r="E970" s="1" t="b">
        <f>tblTNFa[[#This Row],[NetMFI]]&gt;B969</f>
        <v>1</v>
      </c>
    </row>
    <row r="971" spans="1:5" x14ac:dyDescent="0.2">
      <c r="A971" s="1">
        <v>1939.9546546546501</v>
      </c>
      <c r="B971" s="1">
        <v>17069.3087094654</v>
      </c>
      <c r="C971" s="1"/>
      <c r="D971" s="1"/>
      <c r="E971" s="1" t="b">
        <f>tblTNFa[[#This Row],[NetMFI]]&gt;B970</f>
        <v>1</v>
      </c>
    </row>
    <row r="972" spans="1:5" x14ac:dyDescent="0.2">
      <c r="A972" s="1">
        <v>1941.9561661661701</v>
      </c>
      <c r="B972" s="1">
        <v>17069.743570606599</v>
      </c>
      <c r="C972" s="1"/>
      <c r="D972" s="1"/>
      <c r="E972" s="1" t="b">
        <f>tblTNFa[[#This Row],[NetMFI]]&gt;B971</f>
        <v>1</v>
      </c>
    </row>
    <row r="973" spans="1:5" x14ac:dyDescent="0.2">
      <c r="A973" s="1">
        <v>1943.9576776776801</v>
      </c>
      <c r="B973" s="1">
        <v>17070.177347515601</v>
      </c>
      <c r="C973" s="1"/>
      <c r="D973" s="1"/>
      <c r="E973" s="1" t="b">
        <f>tblTNFa[[#This Row],[NetMFI]]&gt;B972</f>
        <v>1</v>
      </c>
    </row>
    <row r="974" spans="1:5" x14ac:dyDescent="0.2">
      <c r="A974" s="1">
        <v>1945.9591891891901</v>
      </c>
      <c r="B974" s="1">
        <v>17070.610043975201</v>
      </c>
      <c r="C974" s="1"/>
      <c r="D974" s="1"/>
      <c r="E974" s="1" t="b">
        <f>tblTNFa[[#This Row],[NetMFI]]&gt;B973</f>
        <v>1</v>
      </c>
    </row>
    <row r="975" spans="1:5" x14ac:dyDescent="0.2">
      <c r="A975" s="1">
        <v>1947.9607007007</v>
      </c>
      <c r="B975" s="1">
        <v>17071.041663751199</v>
      </c>
      <c r="C975" s="1"/>
      <c r="D975" s="1"/>
      <c r="E975" s="1" t="b">
        <f>tblTNFa[[#This Row],[NetMFI]]&gt;B974</f>
        <v>1</v>
      </c>
    </row>
    <row r="976" spans="1:5" x14ac:dyDescent="0.2">
      <c r="A976" s="1">
        <v>1949.96221221221</v>
      </c>
      <c r="B976" s="1">
        <v>17071.472210592299</v>
      </c>
      <c r="C976" s="1"/>
      <c r="D976" s="1"/>
      <c r="E976" s="1" t="b">
        <f>tblTNFa[[#This Row],[NetMFI]]&gt;B975</f>
        <v>1</v>
      </c>
    </row>
    <row r="977" spans="1:5" x14ac:dyDescent="0.2">
      <c r="A977" s="1">
        <v>1951.96372372372</v>
      </c>
      <c r="B977" s="1">
        <v>17071.901688230701</v>
      </c>
      <c r="C977" s="1"/>
      <c r="D977" s="1"/>
      <c r="E977" s="1" t="b">
        <f>tblTNFa[[#This Row],[NetMFI]]&gt;B976</f>
        <v>1</v>
      </c>
    </row>
    <row r="978" spans="1:5" x14ac:dyDescent="0.2">
      <c r="A978" s="1">
        <v>1953.96523523524</v>
      </c>
      <c r="B978" s="1">
        <v>17072.3301003819</v>
      </c>
      <c r="C978" s="1"/>
      <c r="D978" s="1"/>
      <c r="E978" s="1" t="b">
        <f>tblTNFa[[#This Row],[NetMFI]]&gt;B977</f>
        <v>1</v>
      </c>
    </row>
    <row r="979" spans="1:5" x14ac:dyDescent="0.2">
      <c r="A979" s="1">
        <v>1955.96674674675</v>
      </c>
      <c r="B979" s="1">
        <v>17072.757450744801</v>
      </c>
      <c r="C979" s="1"/>
      <c r="D979" s="1"/>
      <c r="E979" s="1" t="b">
        <f>tblTNFa[[#This Row],[NetMFI]]&gt;B978</f>
        <v>1</v>
      </c>
    </row>
    <row r="980" spans="1:5" x14ac:dyDescent="0.2">
      <c r="A980" s="1">
        <v>1957.96825825826</v>
      </c>
      <c r="B980" s="1">
        <v>17073.183743001799</v>
      </c>
      <c r="C980" s="1"/>
      <c r="D980" s="1"/>
      <c r="E980" s="1" t="b">
        <f>tblTNFa[[#This Row],[NetMFI]]&gt;B979</f>
        <v>1</v>
      </c>
    </row>
    <row r="981" spans="1:5" x14ac:dyDescent="0.2">
      <c r="A981" s="1">
        <v>1959.96976976977</v>
      </c>
      <c r="B981" s="1">
        <v>17073.608980819001</v>
      </c>
      <c r="C981" s="1"/>
      <c r="D981" s="1"/>
      <c r="E981" s="1" t="b">
        <f>tblTNFa[[#This Row],[NetMFI]]&gt;B980</f>
        <v>1</v>
      </c>
    </row>
    <row r="982" spans="1:5" x14ac:dyDescent="0.2">
      <c r="A982" s="1">
        <v>1961.97128128128</v>
      </c>
      <c r="B982" s="1">
        <v>17074.033167845901</v>
      </c>
      <c r="C982" s="1"/>
      <c r="D982" s="1"/>
      <c r="E982" s="1" t="b">
        <f>tblTNFa[[#This Row],[NetMFI]]&gt;B981</f>
        <v>1</v>
      </c>
    </row>
    <row r="983" spans="1:5" x14ac:dyDescent="0.2">
      <c r="A983" s="1">
        <v>1963.97279279279</v>
      </c>
      <c r="B983" s="1">
        <v>17074.456307716198</v>
      </c>
      <c r="C983" s="1"/>
      <c r="D983" s="1"/>
      <c r="E983" s="1" t="b">
        <f>tblTNFa[[#This Row],[NetMFI]]&gt;B982</f>
        <v>1</v>
      </c>
    </row>
    <row r="984" spans="1:5" x14ac:dyDescent="0.2">
      <c r="A984" s="1">
        <v>1965.9743043042999</v>
      </c>
      <c r="B984" s="1">
        <v>17074.8784040473</v>
      </c>
      <c r="C984" s="1"/>
      <c r="D984" s="1"/>
      <c r="E984" s="1" t="b">
        <f>tblTNFa[[#This Row],[NetMFI]]&gt;B983</f>
        <v>1</v>
      </c>
    </row>
    <row r="985" spans="1:5" x14ac:dyDescent="0.2">
      <c r="A985" s="1">
        <v>1967.9758158158199</v>
      </c>
      <c r="B985" s="1">
        <v>17075.299460440299</v>
      </c>
      <c r="C985" s="1"/>
      <c r="D985" s="1"/>
      <c r="E985" s="1" t="b">
        <f>tblTNFa[[#This Row],[NetMFI]]&gt;B984</f>
        <v>1</v>
      </c>
    </row>
    <row r="986" spans="1:5" x14ac:dyDescent="0.2">
      <c r="A986" s="1">
        <v>1969.9773273273299</v>
      </c>
      <c r="B986" s="1">
        <v>17075.719480480799</v>
      </c>
      <c r="C986" s="1"/>
      <c r="D986" s="1"/>
      <c r="E986" s="1" t="b">
        <f>tblTNFa[[#This Row],[NetMFI]]&gt;B985</f>
        <v>1</v>
      </c>
    </row>
    <row r="987" spans="1:5" x14ac:dyDescent="0.2">
      <c r="A987" s="1">
        <v>1971.9788388388399</v>
      </c>
      <c r="B987" s="1">
        <v>17076.138467738201</v>
      </c>
      <c r="C987" s="1"/>
      <c r="D987" s="1"/>
      <c r="E987" s="1" t="b">
        <f>tblTNFa[[#This Row],[NetMFI]]&gt;B986</f>
        <v>1</v>
      </c>
    </row>
    <row r="988" spans="1:5" x14ac:dyDescent="0.2">
      <c r="A988" s="1">
        <v>1973.9803503503499</v>
      </c>
      <c r="B988" s="1">
        <v>17076.556425766299</v>
      </c>
      <c r="C988" s="1"/>
      <c r="D988" s="1"/>
      <c r="E988" s="1" t="b">
        <f>tblTNFa[[#This Row],[NetMFI]]&gt;B987</f>
        <v>1</v>
      </c>
    </row>
    <row r="989" spans="1:5" x14ac:dyDescent="0.2">
      <c r="A989" s="1">
        <v>1975.9818618618599</v>
      </c>
      <c r="B989" s="1">
        <v>17076.9733581031</v>
      </c>
      <c r="C989" s="1"/>
      <c r="D989" s="1"/>
      <c r="E989" s="1" t="b">
        <f>tblTNFa[[#This Row],[NetMFI]]&gt;B988</f>
        <v>1</v>
      </c>
    </row>
    <row r="990" spans="1:5" x14ac:dyDescent="0.2">
      <c r="A990" s="1">
        <v>1977.9833733733699</v>
      </c>
      <c r="B990" s="1">
        <v>17077.389268271101</v>
      </c>
      <c r="C990" s="1"/>
      <c r="D990" s="1"/>
      <c r="E990" s="1" t="b">
        <f>tblTNFa[[#This Row],[NetMFI]]&gt;B989</f>
        <v>1</v>
      </c>
    </row>
    <row r="991" spans="1:5" x14ac:dyDescent="0.2">
      <c r="A991" s="1">
        <v>1979.9848848848901</v>
      </c>
      <c r="B991" s="1">
        <v>17077.804159776999</v>
      </c>
      <c r="C991" s="1"/>
      <c r="D991" s="1"/>
      <c r="E991" s="1" t="b">
        <f>tblTNFa[[#This Row],[NetMFI]]&gt;B990</f>
        <v>1</v>
      </c>
    </row>
    <row r="992" spans="1:5" x14ac:dyDescent="0.2">
      <c r="A992" s="1">
        <v>1981.9863963964001</v>
      </c>
      <c r="B992" s="1">
        <v>17078.218036112401</v>
      </c>
      <c r="C992" s="1"/>
      <c r="D992" s="1"/>
      <c r="E992" s="1" t="b">
        <f>tblTNFa[[#This Row],[NetMFI]]&gt;B991</f>
        <v>1</v>
      </c>
    </row>
    <row r="993" spans="1:5" x14ac:dyDescent="0.2">
      <c r="A993" s="1">
        <v>1983.9879079079101</v>
      </c>
      <c r="B993" s="1">
        <v>17078.6309007534</v>
      </c>
      <c r="C993" s="1"/>
      <c r="D993" s="1"/>
      <c r="E993" s="1" t="b">
        <f>tblTNFa[[#This Row],[NetMFI]]&gt;B992</f>
        <v>1</v>
      </c>
    </row>
    <row r="994" spans="1:5" x14ac:dyDescent="0.2">
      <c r="A994" s="1">
        <v>1985.9894194194201</v>
      </c>
      <c r="B994" s="1">
        <v>17079.042757160802</v>
      </c>
      <c r="C994" s="1"/>
      <c r="D994" s="1"/>
      <c r="E994" s="1" t="b">
        <f>tblTNFa[[#This Row],[NetMFI]]&gt;B993</f>
        <v>1</v>
      </c>
    </row>
    <row r="995" spans="1:5" x14ac:dyDescent="0.2">
      <c r="A995" s="1">
        <v>1987.9909309309301</v>
      </c>
      <c r="B995" s="1">
        <v>17079.453608780099</v>
      </c>
      <c r="C995" s="1"/>
      <c r="D995" s="1"/>
      <c r="E995" s="1" t="b">
        <f>tblTNFa[[#This Row],[NetMFI]]&gt;B994</f>
        <v>1</v>
      </c>
    </row>
    <row r="996" spans="1:5" x14ac:dyDescent="0.2">
      <c r="A996" s="1">
        <v>1989.9924424424401</v>
      </c>
      <c r="B996" s="1">
        <v>17079.863459042001</v>
      </c>
      <c r="C996" s="1"/>
      <c r="D996" s="1"/>
      <c r="E996" s="1" t="b">
        <f>tblTNFa[[#This Row],[NetMFI]]&gt;B995</f>
        <v>1</v>
      </c>
    </row>
    <row r="997" spans="1:5" x14ac:dyDescent="0.2">
      <c r="A997" s="1">
        <v>1991.99395395395</v>
      </c>
      <c r="B997" s="1">
        <v>17080.272311361801</v>
      </c>
      <c r="C997" s="1"/>
      <c r="D997" s="1"/>
      <c r="E997" s="1" t="b">
        <f>tblTNFa[[#This Row],[NetMFI]]&gt;B996</f>
        <v>1</v>
      </c>
    </row>
    <row r="998" spans="1:5" x14ac:dyDescent="0.2">
      <c r="A998" s="1">
        <v>1993.99546546547</v>
      </c>
      <c r="B998" s="1">
        <v>17080.68016914</v>
      </c>
      <c r="C998" s="1"/>
      <c r="D998" s="1"/>
      <c r="E998" s="1" t="b">
        <f>tblTNFa[[#This Row],[NetMFI]]&gt;B997</f>
        <v>1</v>
      </c>
    </row>
    <row r="999" spans="1:5" x14ac:dyDescent="0.2">
      <c r="A999" s="1">
        <v>1995.99697697698</v>
      </c>
      <c r="B999" s="1">
        <v>17081.087035762299</v>
      </c>
      <c r="C999" s="1"/>
      <c r="D999" s="1"/>
      <c r="E999" s="1" t="b">
        <f>tblTNFa[[#This Row],[NetMFI]]&gt;B998</f>
        <v>1</v>
      </c>
    </row>
    <row r="1000" spans="1:5" x14ac:dyDescent="0.2">
      <c r="A1000" s="1">
        <v>1997.99848848849</v>
      </c>
      <c r="B1000" s="1">
        <v>17081.492914599501</v>
      </c>
      <c r="C1000" s="1"/>
      <c r="D1000" s="1"/>
      <c r="E1000" s="1" t="b">
        <f>tblTNFa[[#This Row],[NetMFI]]&gt;B999</f>
        <v>1</v>
      </c>
    </row>
    <row r="1001" spans="1:5" x14ac:dyDescent="0.2">
      <c r="A1001" s="1">
        <v>2000</v>
      </c>
      <c r="B1001" s="1">
        <v>17081.897809007802</v>
      </c>
      <c r="C1001" s="1"/>
      <c r="D1001" s="1"/>
      <c r="E1001" s="1" t="b">
        <f>tblTNFa[[#This Row],[NetMFI]]&gt;B1000</f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32B6-879D-480F-BA73-4D316D8D4871}">
  <dimension ref="A1:S32"/>
  <sheetViews>
    <sheetView zoomScaleNormal="100" workbookViewId="0"/>
  </sheetViews>
  <sheetFormatPr baseColWidth="10" defaultRowHeight="15" x14ac:dyDescent="0.2"/>
  <cols>
    <col min="1" max="1" width="9.1640625" bestFit="1" customWidth="1"/>
    <col min="3" max="3" width="11.33203125" bestFit="1" customWidth="1"/>
    <col min="4" max="4" width="12.33203125" bestFit="1" customWidth="1"/>
    <col min="8" max="8" width="10" customWidth="1"/>
    <col min="9" max="9" width="9.1640625" customWidth="1"/>
    <col min="10" max="10" width="6.1640625" bestFit="1" customWidth="1"/>
    <col min="11" max="11" width="3" customWidth="1"/>
    <col min="12" max="12" width="4" customWidth="1"/>
    <col min="13" max="13" width="8.83203125" bestFit="1" customWidth="1"/>
    <col min="14" max="14" width="5.83203125" bestFit="1" customWidth="1"/>
    <col min="15" max="15" width="4.83203125" bestFit="1" customWidth="1"/>
    <col min="16" max="16" width="5.83203125" bestFit="1" customWidth="1"/>
    <col min="17" max="17" width="5.5" bestFit="1" customWidth="1"/>
    <col min="18" max="18" width="12.1640625" bestFit="1" customWidth="1"/>
    <col min="19" max="19" width="13.1640625" bestFit="1" customWidth="1"/>
  </cols>
  <sheetData>
    <row r="1" spans="1:19" ht="32" x14ac:dyDescent="0.2">
      <c r="A1" s="19" t="s">
        <v>35</v>
      </c>
      <c r="B1" s="20" t="s">
        <v>36</v>
      </c>
      <c r="C1" s="22" t="s">
        <v>1</v>
      </c>
      <c r="D1" s="39" t="s">
        <v>37</v>
      </c>
      <c r="E1" s="40" t="s">
        <v>38</v>
      </c>
      <c r="F1" s="40" t="s">
        <v>39</v>
      </c>
      <c r="G1" s="40" t="s">
        <v>40</v>
      </c>
      <c r="H1" s="43" t="s">
        <v>33</v>
      </c>
      <c r="I1" s="44" t="s">
        <v>34</v>
      </c>
      <c r="J1" s="64" t="s">
        <v>3</v>
      </c>
      <c r="K1" s="65"/>
      <c r="M1" t="s">
        <v>22</v>
      </c>
      <c r="N1" s="17" t="s">
        <v>30</v>
      </c>
      <c r="O1" t="s">
        <v>31</v>
      </c>
      <c r="P1" t="s">
        <v>32</v>
      </c>
      <c r="Q1" t="s">
        <v>23</v>
      </c>
      <c r="R1" t="s">
        <v>25</v>
      </c>
      <c r="S1" t="s">
        <v>24</v>
      </c>
    </row>
    <row r="2" spans="1:19" x14ac:dyDescent="0.2">
      <c r="A2" s="23" t="s">
        <v>6</v>
      </c>
      <c r="B2" s="8">
        <v>2000</v>
      </c>
      <c r="C2" s="9">
        <v>18613.349999999999</v>
      </c>
      <c r="D2" s="41">
        <f>_xlfn.XLOOKUP(C2,tblTNFa[NetMFI],tblTNFa[NetMFI],"OOR&lt;",-1)</f>
        <v>17081.897809007802</v>
      </c>
      <c r="E2" s="42">
        <f>_xlfn.XLOOKUP(C2,tblTNFa[NetMFI],tblTNFa[Concentration],"OOR&lt;",-1)</f>
        <v>2000</v>
      </c>
      <c r="F2" s="42" t="str">
        <f>_xlfn.XLOOKUP(C2,tblTNFa[NetMFI],tblTNFa[NetMFI],"OOR&gt;",1)</f>
        <v>OOR&gt;</v>
      </c>
      <c r="G2" s="42" t="str">
        <f>_xlfn.XLOOKUP(C2,tblTNFa[NetMFI],tblTNFa[Concentration],"OOR&gt;",1)</f>
        <v>OOR&gt;</v>
      </c>
      <c r="H2" s="45" t="str">
        <f>IF(NOT(ISNUMBER(D2)),"OOR&lt;",IF(NOT(ISNUMBER(F2)),"OOR&gt;",E2+(C2-D2)/(F2-D2)*(G2-E2)))</f>
        <v>OOR&gt;</v>
      </c>
      <c r="I2" s="46" t="str">
        <f>IF(ISNUMBER(H2),H2/B2*100,H2)</f>
        <v>OOR&gt;</v>
      </c>
      <c r="J2" s="35" t="str">
        <f>IF(NOT(ISNUMBER(H2)),H2,IF(AND(I2&gt;=80,I2&lt;=120),"OK","check"))</f>
        <v>OOR&gt;</v>
      </c>
      <c r="K2" s="36"/>
      <c r="L2" s="3"/>
      <c r="M2">
        <v>0.1</v>
      </c>
      <c r="N2">
        <f>M2</f>
        <v>0.1</v>
      </c>
      <c r="O2">
        <f>N2*$B$30/100</f>
        <v>0.08</v>
      </c>
      <c r="P2">
        <f>N2*$C$30/100</f>
        <v>0.12</v>
      </c>
      <c r="Q2">
        <v>100</v>
      </c>
      <c r="R2">
        <f>B30</f>
        <v>80</v>
      </c>
      <c r="S2">
        <f>C30</f>
        <v>120</v>
      </c>
    </row>
    <row r="3" spans="1:19" x14ac:dyDescent="0.2">
      <c r="A3" s="23" t="s">
        <v>6</v>
      </c>
      <c r="B3" s="8">
        <v>2000</v>
      </c>
      <c r="C3" s="9">
        <v>16859.150000000001</v>
      </c>
      <c r="D3" s="41">
        <f>_xlfn.XLOOKUP(C3,tblTNFa[NetMFI],tblTNFa[NetMFI],"OOR&lt;",-1)</f>
        <v>16858.644699075499</v>
      </c>
      <c r="E3" s="42">
        <f>_xlfn.XLOOKUP(C3,tblTNFa[NetMFI],tblTNFa[Concentration],"OOR&lt;",-1)</f>
        <v>1329.4936436436401</v>
      </c>
      <c r="F3" s="42">
        <f>_xlfn.XLOOKUP(C3,tblTNFa[NetMFI],tblTNFa[NetMFI],"OOR&gt;",1)</f>
        <v>16859.723419557798</v>
      </c>
      <c r="G3" s="42">
        <f>_xlfn.XLOOKUP(C3,tblTNFa[NetMFI],tblTNFa[Concentration],"OOR&gt;",1)</f>
        <v>1331.4951551551601</v>
      </c>
      <c r="H3" s="45">
        <f t="shared" ref="H3:H15" si="0">IF(NOT(ISNUMBER(D3)),"OOR&lt;",IF(NOT(ISNUMBER(F3)),"OOR&gt;",E3+(C3-D3)/(F3-D3)*(G3-E3)))</f>
        <v>1330.4312040531886</v>
      </c>
      <c r="I3" s="46">
        <f t="shared" ref="I3:I15" si="1">IF(ISNUMBER(H3),H3/B3*100,H3)</f>
        <v>66.52156020265943</v>
      </c>
      <c r="J3" s="35" t="str">
        <f t="shared" ref="J3:J15" si="2">IF(NOT(ISNUMBER(H3)),H3,IF(AND(I3&gt;=80,I3&lt;=120),"OK","check"))</f>
        <v>check</v>
      </c>
      <c r="K3" s="36"/>
      <c r="L3" s="3"/>
      <c r="M3">
        <v>10000</v>
      </c>
      <c r="N3">
        <f>M3</f>
        <v>10000</v>
      </c>
      <c r="O3">
        <f>N3*$B$30/100</f>
        <v>8000</v>
      </c>
      <c r="P3">
        <f>N3*$C$30/100</f>
        <v>12000</v>
      </c>
      <c r="Q3">
        <v>100</v>
      </c>
      <c r="R3">
        <f>B30</f>
        <v>80</v>
      </c>
      <c r="S3">
        <f>C30</f>
        <v>120</v>
      </c>
    </row>
    <row r="4" spans="1:19" x14ac:dyDescent="0.2">
      <c r="A4" s="23" t="s">
        <v>7</v>
      </c>
      <c r="B4" s="8">
        <v>500</v>
      </c>
      <c r="C4" s="9">
        <v>15453.19</v>
      </c>
      <c r="D4" s="41">
        <f>_xlfn.XLOOKUP(C4,tblTNFa[NetMFI],tblTNFa[NetMFI],"OOR&lt;",-1)</f>
        <v>15447.6160467599</v>
      </c>
      <c r="E4" s="42">
        <f>_xlfn.XLOOKUP(C4,tblTNFa[NetMFI],tblTNFa[Concentration],"OOR&lt;",-1)</f>
        <v>504.87090090090101</v>
      </c>
      <c r="F4" s="42">
        <f>_xlfn.XLOOKUP(C4,tblTNFa[NetMFI],tblTNFa[NetMFI],"OOR&gt;",1)</f>
        <v>15457.5048871933</v>
      </c>
      <c r="G4" s="42">
        <f>_xlfn.XLOOKUP(C4,tblTNFa[NetMFI],tblTNFa[Concentration],"OOR&gt;",1)</f>
        <v>506.87241241241202</v>
      </c>
      <c r="H4" s="45">
        <f t="shared" si="0"/>
        <v>505.99907479043054</v>
      </c>
      <c r="I4" s="46">
        <f t="shared" si="1"/>
        <v>101.19981495808609</v>
      </c>
      <c r="J4" s="35" t="str">
        <f t="shared" si="2"/>
        <v>OK</v>
      </c>
      <c r="K4" s="36"/>
      <c r="L4" s="3"/>
    </row>
    <row r="5" spans="1:19" x14ac:dyDescent="0.2">
      <c r="A5" s="23" t="s">
        <v>7</v>
      </c>
      <c r="B5" s="8">
        <v>500</v>
      </c>
      <c r="C5" s="9">
        <v>14938.92</v>
      </c>
      <c r="D5" s="41">
        <f>_xlfn.XLOOKUP(C5,tblTNFa[NetMFI],tblTNFa[NetMFI],"OOR&lt;",-1)</f>
        <v>14926.909844526799</v>
      </c>
      <c r="E5" s="42">
        <f>_xlfn.XLOOKUP(C5,tblTNFa[NetMFI],tblTNFa[Concentration],"OOR&lt;",-1)</f>
        <v>418.805905905906</v>
      </c>
      <c r="F5" s="42">
        <f>_xlfn.XLOOKUP(C5,tblTNFa[NetMFI],tblTNFa[NetMFI],"OOR&gt;",1)</f>
        <v>14941.5536651967</v>
      </c>
      <c r="G5" s="42">
        <f>_xlfn.XLOOKUP(C5,tblTNFa[NetMFI],tblTNFa[Concentration],"OOR&gt;",1)</f>
        <v>420.80741741741701</v>
      </c>
      <c r="H5" s="45">
        <f t="shared" si="0"/>
        <v>420.44744911901421</v>
      </c>
      <c r="I5" s="46">
        <f t="shared" si="1"/>
        <v>84.089489823802836</v>
      </c>
      <c r="J5" s="35" t="str">
        <f t="shared" si="2"/>
        <v>OK</v>
      </c>
      <c r="K5" s="36"/>
      <c r="L5" s="3"/>
    </row>
    <row r="6" spans="1:19" x14ac:dyDescent="0.2">
      <c r="A6" s="23" t="s">
        <v>8</v>
      </c>
      <c r="B6" s="8">
        <v>125</v>
      </c>
      <c r="C6" s="9">
        <v>7997.59</v>
      </c>
      <c r="D6" s="41">
        <f>_xlfn.XLOOKUP(C6,tblTNFa[NetMFI],tblTNFa[NetMFI],"OOR&lt;",-1)</f>
        <v>7935.3743095691598</v>
      </c>
      <c r="E6" s="42">
        <f>_xlfn.XLOOKUP(C6,tblTNFa[NetMFI],tblTNFa[Concentration],"OOR&lt;",-1)</f>
        <v>108.571621621622</v>
      </c>
      <c r="F6" s="42">
        <f>_xlfn.XLOOKUP(C6,tblTNFa[NetMFI],tblTNFa[NetMFI],"OOR&gt;",1)</f>
        <v>8051.1945689385202</v>
      </c>
      <c r="G6" s="42">
        <f>_xlfn.XLOOKUP(C6,tblTNFa[NetMFI],tblTNFa[Concentration],"OOR&gt;",1)</f>
        <v>110.573133133133</v>
      </c>
      <c r="H6" s="45">
        <f t="shared" si="0"/>
        <v>109.64678257594873</v>
      </c>
      <c r="I6" s="46">
        <f t="shared" si="1"/>
        <v>87.717426060758982</v>
      </c>
      <c r="J6" s="35" t="str">
        <f t="shared" si="2"/>
        <v>OK</v>
      </c>
      <c r="K6" s="36"/>
      <c r="L6" s="3"/>
    </row>
    <row r="7" spans="1:19" x14ac:dyDescent="0.2">
      <c r="A7" s="23" t="s">
        <v>8</v>
      </c>
      <c r="B7" s="8">
        <v>125</v>
      </c>
      <c r="C7" s="9">
        <v>8785.1200000000008</v>
      </c>
      <c r="D7" s="41">
        <f>_xlfn.XLOOKUP(C7,tblTNFa[NetMFI],tblTNFa[NetMFI],"OOR&lt;",-1)</f>
        <v>8708.0001481893196</v>
      </c>
      <c r="E7" s="42">
        <f>_xlfn.XLOOKUP(C7,tblTNFa[NetMFI],tblTNFa[Concentration],"OOR&lt;",-1)</f>
        <v>122.582202202202</v>
      </c>
      <c r="F7" s="42">
        <f>_xlfn.XLOOKUP(C7,tblTNFa[NetMFI],tblTNFa[NetMFI],"OOR&gt;",1)</f>
        <v>8811.3453602309401</v>
      </c>
      <c r="G7" s="42">
        <f>_xlfn.XLOOKUP(C7,tblTNFa[NetMFI],tblTNFa[Concentration],"OOR&gt;",1)</f>
        <v>124.583713713714</v>
      </c>
      <c r="H7" s="45">
        <f t="shared" si="0"/>
        <v>124.07580087132094</v>
      </c>
      <c r="I7" s="46">
        <f t="shared" si="1"/>
        <v>99.260640697056743</v>
      </c>
      <c r="J7" s="35" t="str">
        <f t="shared" si="2"/>
        <v>OK</v>
      </c>
      <c r="K7" s="36"/>
      <c r="L7" s="3"/>
    </row>
    <row r="8" spans="1:19" x14ac:dyDescent="0.2">
      <c r="A8" s="23" t="s">
        <v>9</v>
      </c>
      <c r="B8" s="8">
        <v>31.25</v>
      </c>
      <c r="C8" s="9">
        <v>2276.5300000000002</v>
      </c>
      <c r="D8" s="41">
        <f>_xlfn.XLOOKUP(C8,tblTNFa[NetMFI],tblTNFa[NetMFI],"OOR&lt;",-1)</f>
        <v>2178.5896315342202</v>
      </c>
      <c r="E8" s="42">
        <f>_xlfn.XLOOKUP(C8,tblTNFa[NetMFI],tblTNFa[Concentration],"OOR&lt;",-1)</f>
        <v>32.514184184184202</v>
      </c>
      <c r="F8" s="42">
        <f>_xlfn.XLOOKUP(C8,tblTNFa[NetMFI],tblTNFa[NetMFI],"OOR&gt;",1)</f>
        <v>2350.6440206358602</v>
      </c>
      <c r="G8" s="42">
        <f>_xlfn.XLOOKUP(C8,tblTNFa[NetMFI],tblTNFa[Concentration],"OOR&gt;",1)</f>
        <v>34.515695695695698</v>
      </c>
      <c r="H8" s="45">
        <f t="shared" si="0"/>
        <v>33.653526086180861</v>
      </c>
      <c r="I8" s="46">
        <f t="shared" si="1"/>
        <v>107.69128347577876</v>
      </c>
      <c r="J8" s="35" t="str">
        <f t="shared" si="2"/>
        <v>OK</v>
      </c>
      <c r="K8" s="36"/>
      <c r="L8" s="3"/>
    </row>
    <row r="9" spans="1:19" x14ac:dyDescent="0.2">
      <c r="A9" s="23" t="s">
        <v>9</v>
      </c>
      <c r="B9" s="8">
        <v>31.25</v>
      </c>
      <c r="C9" s="9">
        <v>1838.01</v>
      </c>
      <c r="D9" s="41">
        <f>_xlfn.XLOOKUP(C9,tblTNFa[NetMFI],tblTNFa[NetMFI],"OOR&lt;",-1)</f>
        <v>1670.6527905381299</v>
      </c>
      <c r="E9" s="42">
        <f>_xlfn.XLOOKUP(C9,tblTNFa[NetMFI],tblTNFa[Concentration],"OOR&lt;",-1)</f>
        <v>26.509649649649599</v>
      </c>
      <c r="F9" s="42">
        <f>_xlfn.XLOOKUP(C9,tblTNFa[NetMFI],tblTNFa[NetMFI],"OOR&gt;",1)</f>
        <v>1838.1854592781599</v>
      </c>
      <c r="G9" s="42">
        <f>_xlfn.XLOOKUP(C9,tblTNFa[NetMFI],tblTNFa[Concentration],"OOR&gt;",1)</f>
        <v>28.511161161161201</v>
      </c>
      <c r="H9" s="45">
        <f t="shared" si="0"/>
        <v>28.509064950507604</v>
      </c>
      <c r="I9" s="46">
        <f t="shared" si="1"/>
        <v>91.229007841624338</v>
      </c>
      <c r="J9" s="35" t="str">
        <f t="shared" si="2"/>
        <v>OK</v>
      </c>
      <c r="K9" s="36"/>
      <c r="L9" s="3"/>
    </row>
    <row r="10" spans="1:19" x14ac:dyDescent="0.2">
      <c r="A10" s="23" t="s">
        <v>10</v>
      </c>
      <c r="B10" s="8">
        <v>7.81</v>
      </c>
      <c r="C10" s="9">
        <v>334.36</v>
      </c>
      <c r="D10" s="41">
        <f>_xlfn.XLOOKUP(C10,tblTNFa[NetMFI],tblTNFa[NetMFI],"OOR&lt;",-1)</f>
        <v>242.725013739395</v>
      </c>
      <c r="E10" s="42">
        <f>_xlfn.XLOOKUP(C10,tblTNFa[NetMFI],tblTNFa[Concentration],"OOR&lt;",-1)</f>
        <v>6.49453453453454</v>
      </c>
      <c r="F10" s="42">
        <f>_xlfn.XLOOKUP(C10,tblTNFa[NetMFI],tblTNFa[NetMFI],"OOR&gt;",1)</f>
        <v>351.13785281968399</v>
      </c>
      <c r="G10" s="42">
        <f>_xlfn.XLOOKUP(C10,tblTNFa[NetMFI],tblTNFa[Concentration],"OOR&gt;",1)</f>
        <v>8.4960460460460503</v>
      </c>
      <c r="H10" s="45">
        <f t="shared" si="0"/>
        <v>8.1862943059207538</v>
      </c>
      <c r="I10" s="46">
        <f t="shared" si="1"/>
        <v>104.81810891063705</v>
      </c>
      <c r="J10" s="35" t="str">
        <f t="shared" si="2"/>
        <v>OK</v>
      </c>
      <c r="K10" s="36"/>
      <c r="L10" s="3"/>
    </row>
    <row r="11" spans="1:19" x14ac:dyDescent="0.2">
      <c r="A11" s="23" t="s">
        <v>10</v>
      </c>
      <c r="B11" s="8">
        <v>7.81</v>
      </c>
      <c r="C11" s="9">
        <v>354.98</v>
      </c>
      <c r="D11" s="41">
        <f>_xlfn.XLOOKUP(C11,tblTNFa[NetMFI],tblTNFa[NetMFI],"OOR&lt;",-1)</f>
        <v>351.13785281968399</v>
      </c>
      <c r="E11" s="42">
        <f>_xlfn.XLOOKUP(C11,tblTNFa[NetMFI],tblTNFa[Concentration],"OOR&lt;",-1)</f>
        <v>8.4960460460460503</v>
      </c>
      <c r="F11" s="42">
        <f>_xlfn.XLOOKUP(C11,tblTNFa[NetMFI],tblTNFa[NetMFI],"OOR&gt;",1)</f>
        <v>470.769608845503</v>
      </c>
      <c r="G11" s="42">
        <f>_xlfn.XLOOKUP(C11,tblTNFa[NetMFI],tblTNFa[Concentration],"OOR&gt;",1)</f>
        <v>10.497557557557601</v>
      </c>
      <c r="H11" s="45">
        <f t="shared" si="0"/>
        <v>8.5603274882466014</v>
      </c>
      <c r="I11" s="46">
        <f t="shared" si="1"/>
        <v>109.60726617473242</v>
      </c>
      <c r="J11" s="35" t="str">
        <f t="shared" si="2"/>
        <v>OK</v>
      </c>
      <c r="K11" s="36"/>
      <c r="L11" s="3"/>
    </row>
    <row r="12" spans="1:19" x14ac:dyDescent="0.2">
      <c r="A12" s="23" t="s">
        <v>11</v>
      </c>
      <c r="B12" s="8">
        <v>1.95</v>
      </c>
      <c r="C12" s="9">
        <v>52.55</v>
      </c>
      <c r="D12" s="41">
        <f>_xlfn.XLOOKUP(C12,tblTNFa[NetMFI],tblTNFa[NetMFI],"OOR&lt;",-1)</f>
        <v>19.852967194712999</v>
      </c>
      <c r="E12" s="42">
        <f>_xlfn.XLOOKUP(C12,tblTNFa[NetMFI],tblTNFa[Concentration],"OOR&lt;",-1)</f>
        <v>0.49</v>
      </c>
      <c r="F12" s="42">
        <f>_xlfn.XLOOKUP(C12,tblTNFa[NetMFI],tblTNFa[NetMFI],"OOR&gt;",1)</f>
        <v>70.939196579494606</v>
      </c>
      <c r="G12" s="42">
        <f>_xlfn.XLOOKUP(C12,tblTNFa[NetMFI],tblTNFa[Concentration],"OOR&gt;",1)</f>
        <v>2.4915115115115101</v>
      </c>
      <c r="H12" s="45">
        <f t="shared" si="0"/>
        <v>1.7710396919124898</v>
      </c>
      <c r="I12" s="46">
        <f t="shared" si="1"/>
        <v>90.822548303204613</v>
      </c>
      <c r="J12" s="35" t="str">
        <f t="shared" si="2"/>
        <v>OK</v>
      </c>
      <c r="K12" s="36"/>
      <c r="L12" s="3"/>
    </row>
    <row r="13" spans="1:19" x14ac:dyDescent="0.2">
      <c r="A13" s="23" t="s">
        <v>11</v>
      </c>
      <c r="B13" s="8">
        <v>1.95</v>
      </c>
      <c r="C13" s="9">
        <v>44.52</v>
      </c>
      <c r="D13" s="41">
        <f>_xlfn.XLOOKUP(C13,tblTNFa[NetMFI],tblTNFa[NetMFI],"OOR&lt;",-1)</f>
        <v>19.852967194712999</v>
      </c>
      <c r="E13" s="42">
        <f>_xlfn.XLOOKUP(C13,tblTNFa[NetMFI],tblTNFa[Concentration],"OOR&lt;",-1)</f>
        <v>0.49</v>
      </c>
      <c r="F13" s="42">
        <f>_xlfn.XLOOKUP(C13,tblTNFa[NetMFI],tblTNFa[NetMFI],"OOR&gt;",1)</f>
        <v>70.939196579494606</v>
      </c>
      <c r="G13" s="42">
        <f>_xlfn.XLOOKUP(C13,tblTNFa[NetMFI],tblTNFa[Concentration],"OOR&gt;",1)</f>
        <v>2.4915115115115101</v>
      </c>
      <c r="H13" s="45">
        <f t="shared" si="0"/>
        <v>1.456431672667577</v>
      </c>
      <c r="I13" s="46">
        <f t="shared" si="1"/>
        <v>74.688803726542403</v>
      </c>
      <c r="J13" s="35" t="str">
        <f t="shared" si="2"/>
        <v>check</v>
      </c>
      <c r="K13" s="36"/>
      <c r="L13" s="3"/>
    </row>
    <row r="14" spans="1:19" x14ac:dyDescent="0.2">
      <c r="A14" s="23" t="s">
        <v>12</v>
      </c>
      <c r="B14" s="8">
        <v>0.49</v>
      </c>
      <c r="C14" s="9">
        <v>18.89</v>
      </c>
      <c r="D14" s="41" t="str">
        <f>_xlfn.XLOOKUP(C14,tblTNFa[NetMFI],tblTNFa[NetMFI],"OOR&lt;",-1)</f>
        <v>OOR&lt;</v>
      </c>
      <c r="E14" s="42" t="str">
        <f>_xlfn.XLOOKUP(C14,tblTNFa[NetMFI],tblTNFa[Concentration],"OOR&lt;",-1)</f>
        <v>OOR&lt;</v>
      </c>
      <c r="F14" s="42">
        <f>_xlfn.XLOOKUP(C14,tblTNFa[NetMFI],tblTNFa[NetMFI],"OOR&gt;",1)</f>
        <v>19.852967194712999</v>
      </c>
      <c r="G14" s="42">
        <f>_xlfn.XLOOKUP(C14,tblTNFa[NetMFI],tblTNFa[Concentration],"OOR&gt;",1)</f>
        <v>0.49</v>
      </c>
      <c r="H14" s="45" t="str">
        <f t="shared" si="0"/>
        <v>OOR&lt;</v>
      </c>
      <c r="I14" s="46" t="str">
        <f t="shared" si="1"/>
        <v>OOR&lt;</v>
      </c>
      <c r="J14" s="35" t="str">
        <f t="shared" si="2"/>
        <v>OOR&lt;</v>
      </c>
      <c r="K14" s="36"/>
      <c r="L14" s="3"/>
    </row>
    <row r="15" spans="1:19" ht="16" thickBot="1" x14ac:dyDescent="0.25">
      <c r="A15" s="25" t="s">
        <v>12</v>
      </c>
      <c r="B15" s="26">
        <v>0.49</v>
      </c>
      <c r="C15" s="10">
        <v>22.03</v>
      </c>
      <c r="D15" s="41">
        <f>_xlfn.XLOOKUP(C15,tblTNFa[NetMFI],tblTNFa[NetMFI],"OOR&lt;",-1)</f>
        <v>19.852967194712999</v>
      </c>
      <c r="E15" s="42">
        <f>_xlfn.XLOOKUP(C15,tblTNFa[NetMFI],tblTNFa[Concentration],"OOR&lt;",-1)</f>
        <v>0.49</v>
      </c>
      <c r="F15" s="42">
        <f>_xlfn.XLOOKUP(C15,tblTNFa[NetMFI],tblTNFa[NetMFI],"OOR&gt;",1)</f>
        <v>70.939196579494606</v>
      </c>
      <c r="G15" s="42">
        <f>_xlfn.XLOOKUP(C15,tblTNFa[NetMFI],tblTNFa[Concentration],"OOR&gt;",1)</f>
        <v>2.4915115115115101</v>
      </c>
      <c r="H15" s="45">
        <f t="shared" si="0"/>
        <v>0.575294144296705</v>
      </c>
      <c r="I15" s="46">
        <f t="shared" si="1"/>
        <v>117.40696822381736</v>
      </c>
      <c r="J15" s="37" t="str">
        <f t="shared" si="2"/>
        <v>OK</v>
      </c>
      <c r="K15" s="38"/>
      <c r="L15" s="3"/>
    </row>
    <row r="16" spans="1:19" ht="16" thickBot="1" x14ac:dyDescent="0.25"/>
    <row r="17" spans="1:11" ht="32" x14ac:dyDescent="0.2">
      <c r="A17" s="19" t="s">
        <v>35</v>
      </c>
      <c r="B17" s="20" t="s">
        <v>36</v>
      </c>
      <c r="C17" s="21" t="s">
        <v>15</v>
      </c>
      <c r="D17" s="22" t="s">
        <v>16</v>
      </c>
      <c r="E17" s="47" t="s">
        <v>19</v>
      </c>
      <c r="F17" s="48" t="s">
        <v>17</v>
      </c>
      <c r="G17" s="48" t="s">
        <v>18</v>
      </c>
      <c r="H17" s="52" t="s">
        <v>34</v>
      </c>
      <c r="I17" s="28"/>
      <c r="J17" s="64" t="s">
        <v>26</v>
      </c>
      <c r="K17" s="65"/>
    </row>
    <row r="18" spans="1:11" x14ac:dyDescent="0.2">
      <c r="A18" s="23" t="s">
        <v>6</v>
      </c>
      <c r="B18" s="8">
        <v>2000</v>
      </c>
      <c r="C18" s="8" t="s">
        <v>20</v>
      </c>
      <c r="D18" s="33">
        <v>1330.4312040531886</v>
      </c>
      <c r="E18" s="49" t="str">
        <f>IF(AND(ISNUMBER(C18),ISNUMBER(D18)),AVERAGE(C18:D18),"N.C.")</f>
        <v>N.C.</v>
      </c>
      <c r="F18" s="45" t="str">
        <f>IF(AND(ISNUMBER(C18),ISNUMBER(D18)),_xlfn.STDEV.S(C18:D18),"N.C.")</f>
        <v>N.C.</v>
      </c>
      <c r="G18" s="45" t="str">
        <f>IF(ISNUMBER(E18),F18/E18*100,E18)</f>
        <v>N.C.</v>
      </c>
      <c r="H18" s="45" t="str">
        <f>IF(ISNUMBER(E18),E18/B18*100,E18)</f>
        <v>N.C.</v>
      </c>
      <c r="I18" s="29"/>
      <c r="J18" s="31" t="str">
        <f t="shared" ref="J18:J24" si="3">IF(AND(ISNUMBER(C18),ISNUMBER(D18),G18&lt;=$C$31,H18&gt;=$B$30,H18&lt;=$C$30),"PASS","FAIL")</f>
        <v>FAIL</v>
      </c>
      <c r="K18" s="24" t="str">
        <f>IF(J18="PASS","✔","✖")</f>
        <v>✖</v>
      </c>
    </row>
    <row r="19" spans="1:11" x14ac:dyDescent="0.2">
      <c r="A19" s="23" t="s">
        <v>7</v>
      </c>
      <c r="B19" s="8">
        <v>500</v>
      </c>
      <c r="C19" s="18">
        <v>505.99907479043054</v>
      </c>
      <c r="D19" s="33">
        <v>420.44744911901421</v>
      </c>
      <c r="E19" s="49">
        <f t="shared" ref="E19:E24" si="4">IF(AND(ISNUMBER(C19),ISNUMBER(D19)),AVERAGE(C19:D19),"N.C.")</f>
        <v>463.22326195472237</v>
      </c>
      <c r="F19" s="45">
        <f t="shared" ref="F19:F24" si="5">IF(AND(ISNUMBER(C19),ISNUMBER(D19)),_xlfn.STDEV.S(C19:D19),"N.C.")</f>
        <v>60.494134653791612</v>
      </c>
      <c r="G19" s="45">
        <f t="shared" ref="G19:G24" si="6">IF(ISNUMBER(E19),F19/E19*100,E19)</f>
        <v>13.059390497471302</v>
      </c>
      <c r="H19" s="45">
        <f t="shared" ref="H19:H24" si="7">IF(ISNUMBER(E19),E19/B19*100,E19)</f>
        <v>92.644652390944472</v>
      </c>
      <c r="I19" s="29"/>
      <c r="J19" s="31" t="str">
        <f t="shared" si="3"/>
        <v>PASS</v>
      </c>
      <c r="K19" s="24" t="str">
        <f t="shared" ref="K19:K24" si="8">IF(J19="PASS","✔","✖")</f>
        <v>✔</v>
      </c>
    </row>
    <row r="20" spans="1:11" x14ac:dyDescent="0.2">
      <c r="A20" s="23" t="s">
        <v>8</v>
      </c>
      <c r="B20" s="8">
        <v>125</v>
      </c>
      <c r="C20" s="18">
        <v>109.64678257594873</v>
      </c>
      <c r="D20" s="33">
        <v>124.07580087132094</v>
      </c>
      <c r="E20" s="49">
        <f t="shared" si="4"/>
        <v>116.86129172363484</v>
      </c>
      <c r="F20" s="45">
        <f t="shared" si="5"/>
        <v>10.202856682522443</v>
      </c>
      <c r="G20" s="45">
        <f t="shared" si="6"/>
        <v>8.7307409767908162</v>
      </c>
      <c r="H20" s="45">
        <f t="shared" si="7"/>
        <v>93.489033378907877</v>
      </c>
      <c r="I20" s="29"/>
      <c r="J20" s="31" t="str">
        <f t="shared" si="3"/>
        <v>PASS</v>
      </c>
      <c r="K20" s="24" t="str">
        <f t="shared" si="8"/>
        <v>✔</v>
      </c>
    </row>
    <row r="21" spans="1:11" x14ac:dyDescent="0.2">
      <c r="A21" s="23" t="s">
        <v>9</v>
      </c>
      <c r="B21" s="8">
        <v>31.25</v>
      </c>
      <c r="C21" s="18">
        <v>33.653526086180861</v>
      </c>
      <c r="D21" s="33">
        <v>28.509064950507604</v>
      </c>
      <c r="E21" s="49">
        <f t="shared" si="4"/>
        <v>31.081295518344234</v>
      </c>
      <c r="F21" s="45">
        <f t="shared" si="5"/>
        <v>3.6376833545852079</v>
      </c>
      <c r="G21" s="45">
        <f t="shared" si="6"/>
        <v>11.703770045358118</v>
      </c>
      <c r="H21" s="45">
        <f t="shared" si="7"/>
        <v>99.460145658701549</v>
      </c>
      <c r="I21" s="29"/>
      <c r="J21" s="31" t="str">
        <f t="shared" si="3"/>
        <v>PASS</v>
      </c>
      <c r="K21" s="24" t="str">
        <f t="shared" si="8"/>
        <v>✔</v>
      </c>
    </row>
    <row r="22" spans="1:11" x14ac:dyDescent="0.2">
      <c r="A22" s="23" t="s">
        <v>10</v>
      </c>
      <c r="B22" s="8">
        <v>7.81</v>
      </c>
      <c r="C22" s="18">
        <v>8.1862943059207538</v>
      </c>
      <c r="D22" s="33">
        <v>8.5603274882466014</v>
      </c>
      <c r="E22" s="49">
        <f t="shared" si="4"/>
        <v>8.3733108970836767</v>
      </c>
      <c r="F22" s="45">
        <f t="shared" si="5"/>
        <v>0.26448139961139117</v>
      </c>
      <c r="G22" s="45">
        <f t="shared" si="6"/>
        <v>3.1586239047150015</v>
      </c>
      <c r="H22" s="45">
        <f t="shared" si="7"/>
        <v>107.21268754268473</v>
      </c>
      <c r="I22" s="29"/>
      <c r="J22" s="31" t="str">
        <f t="shared" si="3"/>
        <v>PASS</v>
      </c>
      <c r="K22" s="24" t="str">
        <f t="shared" si="8"/>
        <v>✔</v>
      </c>
    </row>
    <row r="23" spans="1:11" x14ac:dyDescent="0.2">
      <c r="A23" s="23" t="s">
        <v>11</v>
      </c>
      <c r="B23" s="8">
        <v>1.95</v>
      </c>
      <c r="C23" s="18">
        <v>1.7710396919124898</v>
      </c>
      <c r="D23" s="33">
        <v>1.456431672667577</v>
      </c>
      <c r="E23" s="49">
        <f t="shared" si="4"/>
        <v>1.6137356822900335</v>
      </c>
      <c r="F23" s="45">
        <f t="shared" si="5"/>
        <v>0.22246146382374565</v>
      </c>
      <c r="G23" s="45">
        <f t="shared" si="6"/>
        <v>13.785495745378398</v>
      </c>
      <c r="H23" s="45">
        <f t="shared" si="7"/>
        <v>82.755676014873515</v>
      </c>
      <c r="I23" s="29"/>
      <c r="J23" s="31" t="str">
        <f t="shared" si="3"/>
        <v>PASS</v>
      </c>
      <c r="K23" s="24" t="str">
        <f t="shared" si="8"/>
        <v>✔</v>
      </c>
    </row>
    <row r="24" spans="1:11" ht="16" thickBot="1" x14ac:dyDescent="0.25">
      <c r="A24" s="25" t="s">
        <v>12</v>
      </c>
      <c r="B24" s="26">
        <v>0.49</v>
      </c>
      <c r="C24" s="26" t="s">
        <v>21</v>
      </c>
      <c r="D24" s="34">
        <v>0.575294144296705</v>
      </c>
      <c r="E24" s="50" t="str">
        <f t="shared" si="4"/>
        <v>N.C.</v>
      </c>
      <c r="F24" s="51" t="str">
        <f t="shared" si="5"/>
        <v>N.C.</v>
      </c>
      <c r="G24" s="51" t="str">
        <f t="shared" si="6"/>
        <v>N.C.</v>
      </c>
      <c r="H24" s="51" t="str">
        <f t="shared" si="7"/>
        <v>N.C.</v>
      </c>
      <c r="I24" s="30"/>
      <c r="J24" s="32" t="str">
        <f t="shared" si="3"/>
        <v>FAIL</v>
      </c>
      <c r="K24" s="27" t="str">
        <f t="shared" si="8"/>
        <v>✖</v>
      </c>
    </row>
    <row r="27" spans="1:11" ht="16" thickBot="1" x14ac:dyDescent="0.25"/>
    <row r="28" spans="1:11" ht="16" thickBot="1" x14ac:dyDescent="0.25">
      <c r="A28" s="66" t="s">
        <v>45</v>
      </c>
      <c r="B28" s="67"/>
      <c r="C28" s="68"/>
      <c r="E28" s="66" t="s">
        <v>46</v>
      </c>
      <c r="F28" s="68"/>
    </row>
    <row r="29" spans="1:11" x14ac:dyDescent="0.2">
      <c r="A29" s="5"/>
      <c r="B29" s="12" t="s">
        <v>27</v>
      </c>
      <c r="C29" s="13" t="s">
        <v>28</v>
      </c>
      <c r="E29" s="5" t="s">
        <v>41</v>
      </c>
      <c r="F29" s="55">
        <f>_xlfn.MINIFS(B18:B24,J18:J24,"PASS")</f>
        <v>1.95</v>
      </c>
    </row>
    <row r="30" spans="1:11" x14ac:dyDescent="0.2">
      <c r="A30" s="6" t="s">
        <v>13</v>
      </c>
      <c r="B30" s="14">
        <v>80</v>
      </c>
      <c r="C30" s="15">
        <v>120</v>
      </c>
      <c r="E30" s="6" t="s">
        <v>42</v>
      </c>
      <c r="F30" s="53" t="str">
        <f>_xlfn.XLOOKUP(_xlfn.MINIFS(B18:B24,J18:J24,"PASS"),B18:B24,A18:A24)</f>
        <v>Standard6</v>
      </c>
    </row>
    <row r="31" spans="1:11" ht="16" thickBot="1" x14ac:dyDescent="0.25">
      <c r="A31" s="7" t="s">
        <v>14</v>
      </c>
      <c r="B31" s="11" t="s">
        <v>29</v>
      </c>
      <c r="C31" s="16">
        <v>20</v>
      </c>
      <c r="E31" s="6" t="s">
        <v>43</v>
      </c>
      <c r="F31" s="53">
        <f>_xlfn.MAXIFS(B18:B24,J18:J24,"PASS")</f>
        <v>500</v>
      </c>
    </row>
    <row r="32" spans="1:11" ht="16" thickBot="1" x14ac:dyDescent="0.25">
      <c r="E32" s="7" t="s">
        <v>44</v>
      </c>
      <c r="F32" s="54" t="str">
        <f>_xlfn.XLOOKUP(_xlfn.MAXIFS(B18:B24,J18:J24,"PASS"),B18:B24,A18:A24)</f>
        <v>Standard2</v>
      </c>
    </row>
  </sheetData>
  <mergeCells count="4">
    <mergeCell ref="J1:K1"/>
    <mergeCell ref="J17:K17"/>
    <mergeCell ref="A28:C28"/>
    <mergeCell ref="E28:F28"/>
  </mergeCells>
  <phoneticPr fontId="4" type="noConversion"/>
  <conditionalFormatting sqref="K2:K15">
    <cfRule type="expression" dxfId="5" priority="3">
      <formula>$J2="OOR&gt;"</formula>
    </cfRule>
    <cfRule type="expression" dxfId="4" priority="4">
      <formula>$J2="OOR&lt;"</formula>
    </cfRule>
    <cfRule type="expression" dxfId="3" priority="5">
      <formula>$J2="OK"</formula>
    </cfRule>
    <cfRule type="expression" dxfId="2" priority="6">
      <formula>$J2="check"</formula>
    </cfRule>
  </conditionalFormatting>
  <conditionalFormatting sqref="K18:K24">
    <cfRule type="expression" dxfId="1" priority="1">
      <formula>$J18="PASS"</formula>
    </cfRule>
    <cfRule type="expression" dxfId="0" priority="2">
      <formula>$J18="FAIL"</formula>
    </cfRule>
  </conditionalFormatting>
  <pageMargins left="0.7" right="0.7" top="0.78740157499999996" bottom="0.78740157499999996" header="0.3" footer="0.3"/>
  <ignoredErrors>
    <ignoredError sqref="E19:F23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7B13-C9B7-4DB0-925A-B727CFDF54AA}">
  <dimension ref="A1:Q57"/>
  <sheetViews>
    <sheetView tabSelected="1" workbookViewId="0">
      <selection activeCell="U14" sqref="U14"/>
    </sheetView>
  </sheetViews>
  <sheetFormatPr baseColWidth="10" defaultRowHeight="15" x14ac:dyDescent="0.2"/>
  <cols>
    <col min="2" max="2" width="4.1640625" bestFit="1" customWidth="1"/>
    <col min="4" max="7" width="0" hidden="1" customWidth="1"/>
    <col min="9" max="9" width="11.5" style="56"/>
    <col min="12" max="12" width="3.1640625" style="56" customWidth="1"/>
  </cols>
  <sheetData>
    <row r="1" spans="1:17" ht="32" x14ac:dyDescent="0.2">
      <c r="A1" s="69" t="s">
        <v>47</v>
      </c>
      <c r="B1" s="57" t="s">
        <v>48</v>
      </c>
      <c r="C1" s="57" t="s">
        <v>1</v>
      </c>
      <c r="D1" s="40" t="s">
        <v>37</v>
      </c>
      <c r="E1" s="40" t="s">
        <v>38</v>
      </c>
      <c r="F1" s="40" t="s">
        <v>39</v>
      </c>
      <c r="G1" s="40" t="s">
        <v>40</v>
      </c>
      <c r="H1" s="43" t="s">
        <v>33</v>
      </c>
      <c r="I1" s="59" t="s">
        <v>52</v>
      </c>
      <c r="K1" s="57" t="s">
        <v>47</v>
      </c>
      <c r="L1" s="57" t="s">
        <v>49</v>
      </c>
      <c r="M1" s="63" t="s">
        <v>19</v>
      </c>
      <c r="N1" s="57" t="s">
        <v>17</v>
      </c>
      <c r="O1" s="57" t="s">
        <v>50</v>
      </c>
      <c r="P1" s="57" t="s">
        <v>18</v>
      </c>
      <c r="Q1" s="57" t="s">
        <v>51</v>
      </c>
    </row>
    <row r="2" spans="1:17" x14ac:dyDescent="0.2">
      <c r="A2" s="70" t="s">
        <v>53</v>
      </c>
      <c r="B2" s="58">
        <v>1</v>
      </c>
      <c r="C2" s="58">
        <v>73.27</v>
      </c>
      <c r="D2" s="42">
        <f>_xlfn.XLOOKUP(C2,tblTNFa[NetMFI],tblTNFa[NetMFI],"OOR&lt;",-1)</f>
        <v>70.939196579494606</v>
      </c>
      <c r="E2" s="42">
        <f>_xlfn.XLOOKUP(C2,tblTNFa[NetMFI],tblTNFa[Concentration],"OOR&lt;",-1)</f>
        <v>2.4915115115115101</v>
      </c>
      <c r="F2" s="42">
        <f>_xlfn.XLOOKUP(C2,tblTNFa[NetMFI],tblTNFa[NetMFI],"OOR&gt;",1)</f>
        <v>148.02761478666801</v>
      </c>
      <c r="G2" s="42">
        <f>_xlfn.XLOOKUP(C2,tblTNFa[NetMFI],tblTNFa[Concentration],"OOR&gt;",1)</f>
        <v>4.4930230230230199</v>
      </c>
      <c r="H2" s="45">
        <f>IF(NOT(ISNUMBER(D2)),"OOR&lt;",IF(NOT(ISNUMBER(F2)),"OOR&gt;",E2+(C2-D2)/(F2-D2)*(G2-E2)))</f>
        <v>2.5520281232893587</v>
      </c>
      <c r="I2" s="60" t="str">
        <f t="shared" ref="I2:I33" si="0">IF(NOT(ISNUMBER(H2)),H2,IF(H2&lt;LLOQ,"&lt;LLOQ",IF(H2&gt;ULOQ,"&gt;ULOQ","OK")))</f>
        <v>OK</v>
      </c>
      <c r="K2" s="58" t="str" cm="1">
        <f t="array" ref="K2:K30">_xlfn.UNIQUE(A2:A100)</f>
        <v>25-7-1</v>
      </c>
      <c r="L2" s="60">
        <f>IF(AND(K2&lt;&gt;"",K2&lt;&gt;0),COUNTIFS(TNFa_Unknowns!$A:$A,K2,
TNFa_Unknowns!$I:$I,"OK"),"")</f>
        <v>2</v>
      </c>
      <c r="M2" s="62">
        <f>IF(AND(K2&lt;&gt;"",K2&lt;&gt;0),IF(L2=2,
AVERAGEIFS(
TNFa_Unknowns!$H:$H,
TNFa_Unknowns!$A:$A,K2,
TNFa_Unknowns!$I:$I,"OK"),
"N.C."),"")</f>
        <v>2.796607515069951</v>
      </c>
      <c r="N2" s="61" cm="1">
        <f t="array" ref="N2">IF(AND(K2&lt;&gt;"",K2&lt;&gt;0),IF(L2=2,_xlfn.STDEV.S(_xlfn._xlws.FILTER(TNFa_Unknowns!$H:$H,(TNFa_Unknowns!$A:$A=K2)*(TNFa_Unknowns!$I:$I="OK"))),
"N.C."),"")</f>
        <v>0.34588749293307663</v>
      </c>
      <c r="O2" s="61">
        <f>IF(AND(K2&lt;&gt;"",K2&lt;&gt;0),IF(ISNUMBER(N2),N2/SQRT(L2),"N.C."),"")</f>
        <v>0.24457939178059251</v>
      </c>
      <c r="P2" s="61">
        <f>IF(AND(K2&lt;&gt;"",K2&lt;&gt;0),IF(ISNUMBER(M2),N2/M2*100,"N.C."),"")</f>
        <v>12.368109971428186</v>
      </c>
      <c r="Q2" s="58" t="str">
        <f>IF(AND(K2&lt;&gt;"",K2&lt;&gt;0),IF(COUNTIFS(TNFa_Unknowns!$A:$A,K2,TNFa_Unknowns!$I:$I,"OOR&gt;")&gt;0,
"OOR&gt;",
IF(COUNTIFS(TNFa_Unknowns!$A:$A,K2,TNFa_Unknowns!$I:$I,"OOR&lt;")&gt;0,
"OOR&lt;",
IF(COUNTIFS(TNFa_Unknowns!$A:$A,K2,TNFa_Unknowns!$I:$I,"OK")=2,
"quantifiable",
IF(COUNTIFS(TNFa_Unknowns!$A:$A,K2,TNFa_Unknowns!$I:$I,"&lt;LLOQ")=2,
"&lt;LLOQ",
IF(COUNTIFS(TNFa_Unknowns!$A:$A,K2,TNFa_Unknowns!$I:$I,"&gt;ULOQ")=2,
"&gt;ULOQ",
"review"))))),"")</f>
        <v>quantifiable</v>
      </c>
    </row>
    <row r="3" spans="1:17" x14ac:dyDescent="0.2">
      <c r="A3" s="70" t="s">
        <v>53</v>
      </c>
      <c r="B3" s="58">
        <v>2</v>
      </c>
      <c r="C3" s="58">
        <v>92.11</v>
      </c>
      <c r="D3" s="42">
        <f>_xlfn.XLOOKUP(C3,tblTNFa[NetMFI],tblTNFa[NetMFI],"OOR&lt;",-1)</f>
        <v>70.939196579494606</v>
      </c>
      <c r="E3" s="42">
        <f>_xlfn.XLOOKUP(C3,tblTNFa[NetMFI],tblTNFa[Concentration],"OOR&lt;",-1)</f>
        <v>2.4915115115115101</v>
      </c>
      <c r="F3" s="42">
        <f>_xlfn.XLOOKUP(C3,tblTNFa[NetMFI],tblTNFa[NetMFI],"OOR&gt;",1)</f>
        <v>148.02761478666801</v>
      </c>
      <c r="G3" s="42">
        <f>_xlfn.XLOOKUP(C3,tblTNFa[NetMFI],tblTNFa[Concentration],"OOR&gt;",1)</f>
        <v>4.4930230230230199</v>
      </c>
      <c r="H3" s="45">
        <f t="shared" ref="H3:H57" si="1">IF(NOT(ISNUMBER(D3)),"OOR&lt;",IF(NOT(ISNUMBER(F3)),"OOR&gt;",E3+(C3-D3)/(F3-D3)*(G3-E3)))</f>
        <v>3.0411869068505437</v>
      </c>
      <c r="I3" s="60" t="str">
        <f t="shared" si="0"/>
        <v>OK</v>
      </c>
      <c r="K3" s="58" t="str">
        <v>25-7-2</v>
      </c>
      <c r="L3" s="60">
        <f>IF(AND(K3&lt;&gt;"",K3&lt;&gt;0),COUNTIFS(TNFa_Unknowns!$A:$A,K3,
TNFa_Unknowns!$I:$I,"OK"),"")</f>
        <v>2</v>
      </c>
      <c r="M3" s="62">
        <f>IF(AND(K3&lt;&gt;"",K3&lt;&gt;0),IF(L3=2,
AVERAGEIFS(
TNFa_Unknowns!$H:$H,
TNFa_Unknowns!$A:$A,K3,
TNFa_Unknowns!$I:$I,"OK"),
"N.C."),"")</f>
        <v>3.155817269346437</v>
      </c>
      <c r="N3" s="61" cm="1">
        <f t="array" ref="N3">IF(AND(K3&lt;&gt;"",K3&lt;&gt;0),IF(L3=2,_xlfn.STDEV.S(_xlfn._xlws.FILTER(TNFa_Unknowns!$H:$H,(TNFa_Unknowns!$A:$A=K3)*(TNFa_Unknowns!$I:$I="OK"))),
"N.C."),"")</f>
        <v>0.39233629108173268</v>
      </c>
      <c r="O3" s="61">
        <f t="shared" ref="O3:O57" si="2">IF(AND(K3&lt;&gt;"",K3&lt;&gt;0),IF(ISNUMBER(N3),N3/SQRT(L3),"N.C."),"")</f>
        <v>0.27742365192947233</v>
      </c>
      <c r="P3" s="61">
        <f t="shared" ref="P3:P57" si="3">IF(AND(K3&lt;&gt;"",K3&lt;&gt;0),IF(ISNUMBER(M3),N3/M3*100,"N.C."),"")</f>
        <v>12.432161231026683</v>
      </c>
      <c r="Q3" s="58" t="str">
        <f>IF(AND(K3&lt;&gt;"",K3&lt;&gt;0),IF(COUNTIFS(TNFa_Unknowns!$A:$A,K3,TNFa_Unknowns!$I:$I,"OOR&gt;")&gt;0,
"OOR&gt;",
IF(COUNTIFS(TNFa_Unknowns!$A:$A,K3,TNFa_Unknowns!$I:$I,"OOR&lt;")&gt;0,
"OOR&lt;",
IF(COUNTIFS(TNFa_Unknowns!$A:$A,K3,TNFa_Unknowns!$I:$I,"OK")=2,
"quantifiable",
IF(COUNTIFS(TNFa_Unknowns!$A:$A,K3,TNFa_Unknowns!$I:$I,"&lt;LLOQ")=2,
"&lt;LLOQ",
IF(COUNTIFS(TNFa_Unknowns!$A:$A,K3,TNFa_Unknowns!$I:$I,"&gt;ULOQ")=2,
"&gt;ULOQ",
"review"))))),"")</f>
        <v>quantifiable</v>
      </c>
    </row>
    <row r="4" spans="1:17" x14ac:dyDescent="0.2">
      <c r="A4" s="70" t="s">
        <v>54</v>
      </c>
      <c r="B4" s="58">
        <v>1</v>
      </c>
      <c r="C4" s="58">
        <v>85.84</v>
      </c>
      <c r="D4" s="42">
        <f>_xlfn.XLOOKUP(C4,tblTNFa[NetMFI],tblTNFa[NetMFI],"OOR&lt;",-1)</f>
        <v>70.939196579494606</v>
      </c>
      <c r="E4" s="42">
        <f>_xlfn.XLOOKUP(C4,tblTNFa[NetMFI],tblTNFa[Concentration],"OOR&lt;",-1)</f>
        <v>2.4915115115115101</v>
      </c>
      <c r="F4" s="42">
        <f>_xlfn.XLOOKUP(C4,tblTNFa[NetMFI],tblTNFa[NetMFI],"OOR&gt;",1)</f>
        <v>148.02761478666801</v>
      </c>
      <c r="G4" s="42">
        <f>_xlfn.XLOOKUP(C4,tblTNFa[NetMFI],tblTNFa[Concentration],"OOR&gt;",1)</f>
        <v>4.4930230230230199</v>
      </c>
      <c r="H4" s="45">
        <f t="shared" si="1"/>
        <v>2.8783936174169646</v>
      </c>
      <c r="I4" s="60" t="str">
        <f t="shared" si="0"/>
        <v>OK</v>
      </c>
      <c r="K4" s="58" t="str">
        <v>25-7-3</v>
      </c>
      <c r="L4" s="60">
        <f>IF(AND(K4&lt;&gt;"",K4&lt;&gt;0),COUNTIFS(TNFa_Unknowns!$A:$A,K4,
TNFa_Unknowns!$I:$I,"OK"),"")</f>
        <v>1</v>
      </c>
      <c r="M4" s="61" t="str">
        <f>IF(AND(K4&lt;&gt;"",K4&lt;&gt;0),IF(L4=2,
AVERAGEIFS(
TNFa_Unknowns!$H:$H,
TNFa_Unknowns!$A:$A,K4,
TNFa_Unknowns!$I:$I,"OK"),
"N.C."),"")</f>
        <v>N.C.</v>
      </c>
      <c r="N4" s="61" t="str" cm="1">
        <f t="array" ref="N4">IF(AND(K4&lt;&gt;"",K4&lt;&gt;0),IF(L4=2,_xlfn.STDEV.S(_xlfn._xlws.FILTER(TNFa_Unknowns!$H:$H,(TNFa_Unknowns!$A:$A=K4)*(TNFa_Unknowns!$I:$I="OK"))),
"N.C."),"")</f>
        <v>N.C.</v>
      </c>
      <c r="O4" s="61" t="str">
        <f t="shared" si="2"/>
        <v>N.C.</v>
      </c>
      <c r="P4" s="61" t="str">
        <f t="shared" si="3"/>
        <v>N.C.</v>
      </c>
      <c r="Q4" s="58" t="str">
        <f>IF(AND(K4&lt;&gt;"",K4&lt;&gt;0),IF(COUNTIFS(TNFa_Unknowns!$A:$A,K4,TNFa_Unknowns!$I:$I,"OOR&gt;")&gt;0,
"OOR&gt;",
IF(COUNTIFS(TNFa_Unknowns!$A:$A,K4,TNFa_Unknowns!$I:$I,"OOR&lt;")&gt;0,
"OOR&lt;",
IF(COUNTIFS(TNFa_Unknowns!$A:$A,K4,TNFa_Unknowns!$I:$I,"OK")=2,
"quantifiable",
IF(COUNTIFS(TNFa_Unknowns!$A:$A,K4,TNFa_Unknowns!$I:$I,"&lt;LLOQ")=2,
"&lt;LLOQ",
IF(COUNTIFS(TNFa_Unknowns!$A:$A,K4,TNFa_Unknowns!$I:$I,"&gt;ULOQ")=2,
"&gt;ULOQ",
"review"))))),"")</f>
        <v>review</v>
      </c>
    </row>
    <row r="5" spans="1:17" x14ac:dyDescent="0.2">
      <c r="A5" s="70" t="s">
        <v>54</v>
      </c>
      <c r="B5" s="58">
        <v>2</v>
      </c>
      <c r="C5" s="58">
        <v>107.21</v>
      </c>
      <c r="D5" s="42">
        <f>_xlfn.XLOOKUP(C5,tblTNFa[NetMFI],tblTNFa[NetMFI],"OOR&lt;",-1)</f>
        <v>70.939196579494606</v>
      </c>
      <c r="E5" s="42">
        <f>_xlfn.XLOOKUP(C5,tblTNFa[NetMFI],tblTNFa[Concentration],"OOR&lt;",-1)</f>
        <v>2.4915115115115101</v>
      </c>
      <c r="F5" s="42">
        <f>_xlfn.XLOOKUP(C5,tblTNFa[NetMFI],tblTNFa[NetMFI],"OOR&gt;",1)</f>
        <v>148.02761478666801</v>
      </c>
      <c r="G5" s="42">
        <f>_xlfn.XLOOKUP(C5,tblTNFa[NetMFI],tblTNFa[Concentration],"OOR&gt;",1)</f>
        <v>4.4930230230230199</v>
      </c>
      <c r="H5" s="45">
        <f t="shared" si="1"/>
        <v>3.4332409212759094</v>
      </c>
      <c r="I5" s="60" t="str">
        <f t="shared" si="0"/>
        <v>OK</v>
      </c>
      <c r="K5" s="58" t="str">
        <v>25-7-4</v>
      </c>
      <c r="L5" s="60">
        <f>IF(AND(K5&lt;&gt;"",K5&lt;&gt;0),COUNTIFS(TNFa_Unknowns!$A:$A,K5,
TNFa_Unknowns!$I:$I,"OK"),"")</f>
        <v>2</v>
      </c>
      <c r="M5" s="62">
        <f>IF(AND(K5&lt;&gt;"",K5&lt;&gt;0),IF(L5=2,
AVERAGEIFS(
TNFa_Unknowns!$H:$H,
TNFa_Unknowns!$A:$A,K5,
TNFa_Unknowns!$I:$I,"OK"),
"N.C."),"")</f>
        <v>2.5150649221410744</v>
      </c>
      <c r="N5" s="61" cm="1">
        <f t="array" ref="N5">IF(AND(K5&lt;&gt;"",K5&lt;&gt;0),IF(L5=2,_xlfn.STDEV.S(_xlfn._xlws.FILTER(TNFa_Unknowns!$H:$H,(TNFa_Unknowns!$A:$A=K5)*(TNFa_Unknowns!$I:$I="OK"))),
"N.C."),"")</f>
        <v>0.38898174892849779</v>
      </c>
      <c r="O5" s="61">
        <f t="shared" si="2"/>
        <v>0.27505163242514385</v>
      </c>
      <c r="P5" s="61">
        <f t="shared" si="3"/>
        <v>15.466071889601867</v>
      </c>
      <c r="Q5" s="58" t="str">
        <f>IF(AND(K5&lt;&gt;"",K5&lt;&gt;0),IF(COUNTIFS(TNFa_Unknowns!$A:$A,K5,TNFa_Unknowns!$I:$I,"OOR&gt;")&gt;0,
"OOR&gt;",
IF(COUNTIFS(TNFa_Unknowns!$A:$A,K5,TNFa_Unknowns!$I:$I,"OOR&lt;")&gt;0,
"OOR&lt;",
IF(COUNTIFS(TNFa_Unknowns!$A:$A,K5,TNFa_Unknowns!$I:$I,"OK")=2,
"quantifiable",
IF(COUNTIFS(TNFa_Unknowns!$A:$A,K5,TNFa_Unknowns!$I:$I,"&lt;LLOQ")=2,
"&lt;LLOQ",
IF(COUNTIFS(TNFa_Unknowns!$A:$A,K5,TNFa_Unknowns!$I:$I,"&gt;ULOQ")=2,
"&gt;ULOQ",
"review"))))),"")</f>
        <v>quantifiable</v>
      </c>
    </row>
    <row r="6" spans="1:17" x14ac:dyDescent="0.2">
      <c r="A6" s="70" t="s">
        <v>55</v>
      </c>
      <c r="B6" s="58">
        <v>1</v>
      </c>
      <c r="C6" s="58">
        <v>40.619999999999997</v>
      </c>
      <c r="D6" s="42">
        <f>_xlfn.XLOOKUP(C6,tblTNFa[NetMFI],tblTNFa[NetMFI],"OOR&lt;",-1)</f>
        <v>19.852967194712999</v>
      </c>
      <c r="E6" s="42">
        <f>_xlfn.XLOOKUP(C6,tblTNFa[NetMFI],tblTNFa[Concentration],"OOR&lt;",-1)</f>
        <v>0.49</v>
      </c>
      <c r="F6" s="42">
        <f>_xlfn.XLOOKUP(C6,tblTNFa[NetMFI],tblTNFa[NetMFI],"OOR&gt;",1)</f>
        <v>70.939196579494606</v>
      </c>
      <c r="G6" s="42">
        <f>_xlfn.XLOOKUP(C6,tblTNFa[NetMFI],tblTNFa[Concentration],"OOR&gt;",1)</f>
        <v>2.4915115115115101</v>
      </c>
      <c r="H6" s="45">
        <f t="shared" si="1"/>
        <v>1.3036332573431482</v>
      </c>
      <c r="I6" s="60" t="str">
        <f t="shared" si="0"/>
        <v>&lt;LLOQ</v>
      </c>
      <c r="K6" s="58" t="str">
        <v>25-7-5</v>
      </c>
      <c r="L6" s="60">
        <f>IF(AND(K6&lt;&gt;"",K6&lt;&gt;0),COUNTIFS(TNFa_Unknowns!$A:$A,K6,
TNFa_Unknowns!$I:$I,"OK"),"")</f>
        <v>0</v>
      </c>
      <c r="M6" s="61" t="str">
        <f>IF(AND(K6&lt;&gt;"",K6&lt;&gt;0),IF(L6=2,
AVERAGEIFS(
TNFa_Unknowns!$H:$H,
TNFa_Unknowns!$A:$A,K6,
TNFa_Unknowns!$I:$I,"OK"),
"N.C."),"")</f>
        <v>N.C.</v>
      </c>
      <c r="N6" s="61" t="str" cm="1">
        <f t="array" ref="N6">IF(AND(K6&lt;&gt;"",K6&lt;&gt;0),IF(L6=2,_xlfn.STDEV.S(_xlfn._xlws.FILTER(TNFa_Unknowns!$H:$H,(TNFa_Unknowns!$A:$A=K6)*(TNFa_Unknowns!$I:$I="OK"))),
"N.C."),"")</f>
        <v>N.C.</v>
      </c>
      <c r="O6" s="61" t="str">
        <f t="shared" si="2"/>
        <v>N.C.</v>
      </c>
      <c r="P6" s="61" t="str">
        <f t="shared" si="3"/>
        <v>N.C.</v>
      </c>
      <c r="Q6" s="58" t="str">
        <f>IF(AND(K6&lt;&gt;"",K6&lt;&gt;0),IF(COUNTIFS(TNFa_Unknowns!$A:$A,K6,TNFa_Unknowns!$I:$I,"OOR&gt;")&gt;0,
"OOR&gt;",
IF(COUNTIFS(TNFa_Unknowns!$A:$A,K6,TNFa_Unknowns!$I:$I,"OOR&lt;")&gt;0,
"OOR&lt;",
IF(COUNTIFS(TNFa_Unknowns!$A:$A,K6,TNFa_Unknowns!$I:$I,"OK")=2,
"quantifiable",
IF(COUNTIFS(TNFa_Unknowns!$A:$A,K6,TNFa_Unknowns!$I:$I,"&lt;LLOQ")=2,
"&lt;LLOQ",
IF(COUNTIFS(TNFa_Unknowns!$A:$A,K6,TNFa_Unknowns!$I:$I,"&gt;ULOQ")=2,
"&gt;ULOQ",
"review"))))),"")</f>
        <v>&lt;LLOQ</v>
      </c>
    </row>
    <row r="7" spans="1:17" x14ac:dyDescent="0.2">
      <c r="A7" s="70" t="s">
        <v>55</v>
      </c>
      <c r="B7" s="58">
        <v>2</v>
      </c>
      <c r="C7" s="58">
        <v>69.959999999999994</v>
      </c>
      <c r="D7" s="42">
        <f>_xlfn.XLOOKUP(C7,tblTNFa[NetMFI],tblTNFa[NetMFI],"OOR&lt;",-1)</f>
        <v>19.852967194712999</v>
      </c>
      <c r="E7" s="42">
        <f>_xlfn.XLOOKUP(C7,tblTNFa[NetMFI],tblTNFa[Concentration],"OOR&lt;",-1)</f>
        <v>0.49</v>
      </c>
      <c r="F7" s="42">
        <f>_xlfn.XLOOKUP(C7,tblTNFa[NetMFI],tblTNFa[NetMFI],"OOR&gt;",1)</f>
        <v>70.939196579494606</v>
      </c>
      <c r="G7" s="42">
        <f>_xlfn.XLOOKUP(C7,tblTNFa[NetMFI],tblTNFa[Concentration],"OOR&gt;",1)</f>
        <v>2.4915115115115101</v>
      </c>
      <c r="H7" s="45">
        <f t="shared" si="1"/>
        <v>2.4531474895530803</v>
      </c>
      <c r="I7" s="60" t="str">
        <f t="shared" si="0"/>
        <v>OK</v>
      </c>
      <c r="K7" s="58" t="str">
        <v>25-7-6</v>
      </c>
      <c r="L7" s="60">
        <f>IF(AND(K7&lt;&gt;"",K7&lt;&gt;0),COUNTIFS(TNFa_Unknowns!$A:$A,K7,
TNFa_Unknowns!$I:$I,"OK"),"")</f>
        <v>1</v>
      </c>
      <c r="M7" s="61" t="str">
        <f>IF(AND(K7&lt;&gt;"",K7&lt;&gt;0),IF(L7=2,
AVERAGEIFS(
TNFa_Unknowns!$H:$H,
TNFa_Unknowns!$A:$A,K7,
TNFa_Unknowns!$I:$I,"OK"),
"N.C."),"")</f>
        <v>N.C.</v>
      </c>
      <c r="N7" s="61" t="str" cm="1">
        <f t="array" ref="N7">IF(AND(K7&lt;&gt;"",K7&lt;&gt;0),IF(L7=2,_xlfn.STDEV.S(_xlfn._xlws.FILTER(TNFa_Unknowns!$H:$H,(TNFa_Unknowns!$A:$A=K7)*(TNFa_Unknowns!$I:$I="OK"))),
"N.C."),"")</f>
        <v>N.C.</v>
      </c>
      <c r="O7" s="61" t="str">
        <f t="shared" si="2"/>
        <v>N.C.</v>
      </c>
      <c r="P7" s="61" t="str">
        <f t="shared" si="3"/>
        <v>N.C.</v>
      </c>
      <c r="Q7" s="58" t="str">
        <f>IF(AND(K7&lt;&gt;"",K7&lt;&gt;0),IF(COUNTIFS(TNFa_Unknowns!$A:$A,K7,TNFa_Unknowns!$I:$I,"OOR&gt;")&gt;0,
"OOR&gt;",
IF(COUNTIFS(TNFa_Unknowns!$A:$A,K7,TNFa_Unknowns!$I:$I,"OOR&lt;")&gt;0,
"OOR&lt;",
IF(COUNTIFS(TNFa_Unknowns!$A:$A,K7,TNFa_Unknowns!$I:$I,"OK")=2,
"quantifiable",
IF(COUNTIFS(TNFa_Unknowns!$A:$A,K7,TNFa_Unknowns!$I:$I,"&lt;LLOQ")=2,
"&lt;LLOQ",
IF(COUNTIFS(TNFa_Unknowns!$A:$A,K7,TNFa_Unknowns!$I:$I,"&gt;ULOQ")=2,
"&gt;ULOQ",
"review"))))),"")</f>
        <v>review</v>
      </c>
    </row>
    <row r="8" spans="1:17" x14ac:dyDescent="0.2">
      <c r="A8" s="70" t="s">
        <v>56</v>
      </c>
      <c r="B8" s="58">
        <v>1</v>
      </c>
      <c r="C8" s="58">
        <v>82.44</v>
      </c>
      <c r="D8" s="42">
        <f>_xlfn.XLOOKUP(C8,tblTNFa[NetMFI],tblTNFa[NetMFI],"OOR&lt;",-1)</f>
        <v>70.939196579494606</v>
      </c>
      <c r="E8" s="42">
        <f>_xlfn.XLOOKUP(C8,tblTNFa[NetMFI],tblTNFa[Concentration],"OOR&lt;",-1)</f>
        <v>2.4915115115115101</v>
      </c>
      <c r="F8" s="42">
        <f>_xlfn.XLOOKUP(C8,tblTNFa[NetMFI],tblTNFa[NetMFI],"OOR&gt;",1)</f>
        <v>148.02761478666801</v>
      </c>
      <c r="G8" s="42">
        <f>_xlfn.XLOOKUP(C8,tblTNFa[NetMFI],tblTNFa[Concentration],"OOR&gt;",1)</f>
        <v>4.4930230230230199</v>
      </c>
      <c r="H8" s="45">
        <f t="shared" si="1"/>
        <v>2.7901165545662199</v>
      </c>
      <c r="I8" s="60" t="str">
        <f t="shared" si="0"/>
        <v>OK</v>
      </c>
      <c r="K8" s="58" t="str">
        <v>25-7-7</v>
      </c>
      <c r="L8" s="60">
        <f>IF(AND(K8&lt;&gt;"",K8&lt;&gt;0),COUNTIFS(TNFa_Unknowns!$A:$A,K8,
TNFa_Unknowns!$I:$I,"OK"),"")</f>
        <v>2</v>
      </c>
      <c r="M8" s="62">
        <f>IF(AND(K8&lt;&gt;"",K8&lt;&gt;0),IF(L8=2,
AVERAGEIFS(
TNFa_Unknowns!$H:$H,
TNFa_Unknowns!$A:$A,K8,
TNFa_Unknowns!$I:$I,"OK"),
"N.C."),"")</f>
        <v>2.8256870181266671</v>
      </c>
      <c r="N8" s="61" cm="1">
        <f t="array" ref="N8">IF(AND(K8&lt;&gt;"",K8&lt;&gt;0),IF(L8=2,_xlfn.STDEV.S(_xlfn._xlws.FILTER(TNFa_Unknowns!$H:$H,(TNFa_Unknowns!$A:$A=K8)*(TNFa_Unknowns!$I:$I="OK"))),
"N.C."),"")</f>
        <v>0.15935793198827511</v>
      </c>
      <c r="O8" s="61">
        <f t="shared" si="2"/>
        <v>0.11268307434477397</v>
      </c>
      <c r="P8" s="61">
        <f t="shared" si="3"/>
        <v>5.6396172317033155</v>
      </c>
      <c r="Q8" s="58" t="str">
        <f>IF(AND(K8&lt;&gt;"",K8&lt;&gt;0),IF(COUNTIFS(TNFa_Unknowns!$A:$A,K8,TNFa_Unknowns!$I:$I,"OOR&gt;")&gt;0,
"OOR&gt;",
IF(COUNTIFS(TNFa_Unknowns!$A:$A,K8,TNFa_Unknowns!$I:$I,"OOR&lt;")&gt;0,
"OOR&lt;",
IF(COUNTIFS(TNFa_Unknowns!$A:$A,K8,TNFa_Unknowns!$I:$I,"OK")=2,
"quantifiable",
IF(COUNTIFS(TNFa_Unknowns!$A:$A,K8,TNFa_Unknowns!$I:$I,"&lt;LLOQ")=2,
"&lt;LLOQ",
IF(COUNTIFS(TNFa_Unknowns!$A:$A,K8,TNFa_Unknowns!$I:$I,"&gt;ULOQ")=2,
"&gt;ULOQ",
"review"))))),"")</f>
        <v>quantifiable</v>
      </c>
    </row>
    <row r="9" spans="1:17" x14ac:dyDescent="0.2">
      <c r="A9" s="70" t="s">
        <v>56</v>
      </c>
      <c r="B9" s="58">
        <v>2</v>
      </c>
      <c r="C9" s="58">
        <v>64.52</v>
      </c>
      <c r="D9" s="42">
        <f>_xlfn.XLOOKUP(C9,tblTNFa[NetMFI],tblTNFa[NetMFI],"OOR&lt;",-1)</f>
        <v>19.852967194712999</v>
      </c>
      <c r="E9" s="42">
        <f>_xlfn.XLOOKUP(C9,tblTNFa[NetMFI],tblTNFa[Concentration],"OOR&lt;",-1)</f>
        <v>0.49</v>
      </c>
      <c r="F9" s="42">
        <f>_xlfn.XLOOKUP(C9,tblTNFa[NetMFI],tblTNFa[NetMFI],"OOR&gt;",1)</f>
        <v>70.939196579494606</v>
      </c>
      <c r="G9" s="42">
        <f>_xlfn.XLOOKUP(C9,tblTNFa[NetMFI],tblTNFa[Concentration],"OOR&gt;",1)</f>
        <v>2.4915115115115101</v>
      </c>
      <c r="H9" s="45">
        <f t="shared" si="1"/>
        <v>2.2400132897159284</v>
      </c>
      <c r="I9" s="60" t="str">
        <f t="shared" si="0"/>
        <v>OK</v>
      </c>
      <c r="K9" s="58" t="str">
        <v>25-7-8</v>
      </c>
      <c r="L9" s="60">
        <f>IF(AND(K9&lt;&gt;"",K9&lt;&gt;0),COUNTIFS(TNFa_Unknowns!$A:$A,K9,
TNFa_Unknowns!$I:$I,"OK"),"")</f>
        <v>2</v>
      </c>
      <c r="M9" s="62">
        <f>IF(AND(K9&lt;&gt;"",K9&lt;&gt;0),IF(L9=2,
AVERAGEIFS(
TNFa_Unknowns!$H:$H,
TNFa_Unknowns!$A:$A,K9,
TNFa_Unknowns!$I:$I,"OK"),
"N.C."),"")</f>
        <v>3.069747133066961</v>
      </c>
      <c r="N9" s="61" cm="1">
        <f t="array" ref="N9">IF(AND(K9&lt;&gt;"",K9&lt;&gt;0),IF(L9=2,_xlfn.STDEV.S(_xlfn._xlws.FILTER(TNFa_Unknowns!$H:$H,(TNFa_Unknowns!$A:$A=K9)*(TNFa_Unknowns!$I:$I="OK"))),
"N.C."),"")</f>
        <v>0.29852073434670007</v>
      </c>
      <c r="O9" s="61">
        <f t="shared" si="2"/>
        <v>0.21108603558133951</v>
      </c>
      <c r="P9" s="61">
        <f t="shared" si="3"/>
        <v>9.7246034088954509</v>
      </c>
      <c r="Q9" s="58" t="str">
        <f>IF(AND(K9&lt;&gt;"",K9&lt;&gt;0),IF(COUNTIFS(TNFa_Unknowns!$A:$A,K9,TNFa_Unknowns!$I:$I,"OOR&gt;")&gt;0,
"OOR&gt;",
IF(COUNTIFS(TNFa_Unknowns!$A:$A,K9,TNFa_Unknowns!$I:$I,"OOR&lt;")&gt;0,
"OOR&lt;",
IF(COUNTIFS(TNFa_Unknowns!$A:$A,K9,TNFa_Unknowns!$I:$I,"OK")=2,
"quantifiable",
IF(COUNTIFS(TNFa_Unknowns!$A:$A,K9,TNFa_Unknowns!$I:$I,"&lt;LLOQ")=2,
"&lt;LLOQ",
IF(COUNTIFS(TNFa_Unknowns!$A:$A,K9,TNFa_Unknowns!$I:$I,"&gt;ULOQ")=2,
"&gt;ULOQ",
"review"))))),"")</f>
        <v>quantifiable</v>
      </c>
    </row>
    <row r="10" spans="1:17" x14ac:dyDescent="0.2">
      <c r="A10" s="70" t="s">
        <v>57</v>
      </c>
      <c r="B10" s="58">
        <v>1</v>
      </c>
      <c r="C10" s="58">
        <v>53.74</v>
      </c>
      <c r="D10" s="42">
        <f>_xlfn.XLOOKUP(C10,tblTNFa[NetMFI],tblTNFa[NetMFI],"OOR&lt;",-1)</f>
        <v>19.852967194712999</v>
      </c>
      <c r="E10" s="42">
        <f>_xlfn.XLOOKUP(C10,tblTNFa[NetMFI],tblTNFa[Concentration],"OOR&lt;",-1)</f>
        <v>0.49</v>
      </c>
      <c r="F10" s="42">
        <f>_xlfn.XLOOKUP(C10,tblTNFa[NetMFI],tblTNFa[NetMFI],"OOR&gt;",1)</f>
        <v>70.939196579494606</v>
      </c>
      <c r="G10" s="42">
        <f>_xlfn.XLOOKUP(C10,tblTNFa[NetMFI],tblTNFa[Concentration],"OOR&gt;",1)</f>
        <v>2.4915115115115101</v>
      </c>
      <c r="H10" s="45">
        <f t="shared" si="1"/>
        <v>1.8176627981268672</v>
      </c>
      <c r="I10" s="60" t="str">
        <f t="shared" si="0"/>
        <v>&lt;LLOQ</v>
      </c>
      <c r="K10" s="58" t="str">
        <v>25-7-9</v>
      </c>
      <c r="L10" s="60">
        <f>IF(AND(K10&lt;&gt;"",K10&lt;&gt;0),COUNTIFS(TNFa_Unknowns!$A:$A,K10,
TNFa_Unknowns!$I:$I,"OK"),"")</f>
        <v>2</v>
      </c>
      <c r="M10" s="62">
        <f>IF(AND(K10&lt;&gt;"",K10&lt;&gt;0),IF(L10=2,
AVERAGEIFS(
TNFa_Unknowns!$H:$H,
TNFa_Unknowns!$A:$A,K10,
TNFa_Unknowns!$I:$I,"OK"),
"N.C."),"")</f>
        <v>3.1624380490602428</v>
      </c>
      <c r="N10" s="61" cm="1">
        <f t="array" ref="N10">IF(AND(K10&lt;&gt;"",K10&lt;&gt;0),IF(L10=2,_xlfn.STDEV.S(_xlfn._xlws.FILTER(TNFa_Unknowns!$H:$H,(TNFa_Unknowns!$A:$A=K10)*(TNFa_Unknowns!$I:$I="OK"))),
"N.C."),"")</f>
        <v>0.5643620771105522</v>
      </c>
      <c r="O10" s="61">
        <f t="shared" si="2"/>
        <v>0.39906425176939664</v>
      </c>
      <c r="P10" s="61">
        <f t="shared" si="3"/>
        <v>17.845790758755236</v>
      </c>
      <c r="Q10" s="58" t="str">
        <f>IF(AND(K10&lt;&gt;"",K10&lt;&gt;0),IF(COUNTIFS(TNFa_Unknowns!$A:$A,K10,TNFa_Unknowns!$I:$I,"OOR&gt;")&gt;0,
"OOR&gt;",
IF(COUNTIFS(TNFa_Unknowns!$A:$A,K10,TNFa_Unknowns!$I:$I,"OOR&lt;")&gt;0,
"OOR&lt;",
IF(COUNTIFS(TNFa_Unknowns!$A:$A,K10,TNFa_Unknowns!$I:$I,"OK")=2,
"quantifiable",
IF(COUNTIFS(TNFa_Unknowns!$A:$A,K10,TNFa_Unknowns!$I:$I,"&lt;LLOQ")=2,
"&lt;LLOQ",
IF(COUNTIFS(TNFa_Unknowns!$A:$A,K10,TNFa_Unknowns!$I:$I,"&gt;ULOQ")=2,
"&gt;ULOQ",
"review"))))),"")</f>
        <v>quantifiable</v>
      </c>
    </row>
    <row r="11" spans="1:17" x14ac:dyDescent="0.2">
      <c r="A11" s="70" t="s">
        <v>57</v>
      </c>
      <c r="B11" s="58">
        <v>2</v>
      </c>
      <c r="C11" s="58">
        <v>46.12</v>
      </c>
      <c r="D11" s="42">
        <f>_xlfn.XLOOKUP(C11,tblTNFa[NetMFI],tblTNFa[NetMFI],"OOR&lt;",-1)</f>
        <v>19.852967194712999</v>
      </c>
      <c r="E11" s="42">
        <f>_xlfn.XLOOKUP(C11,tblTNFa[NetMFI],tblTNFa[Concentration],"OOR&lt;",-1)</f>
        <v>0.49</v>
      </c>
      <c r="F11" s="42">
        <f>_xlfn.XLOOKUP(C11,tblTNFa[NetMFI],tblTNFa[NetMFI],"OOR&gt;",1)</f>
        <v>70.939196579494606</v>
      </c>
      <c r="G11" s="42">
        <f>_xlfn.XLOOKUP(C11,tblTNFa[NetMFI],tblTNFa[Concentration],"OOR&gt;",1)</f>
        <v>2.4915115115115101</v>
      </c>
      <c r="H11" s="45">
        <f t="shared" si="1"/>
        <v>1.5191182020314449</v>
      </c>
      <c r="I11" s="60" t="str">
        <f t="shared" si="0"/>
        <v>&lt;LLOQ</v>
      </c>
      <c r="K11" s="58" t="str">
        <v>25-7-10</v>
      </c>
      <c r="L11" s="60">
        <f>IF(AND(K11&lt;&gt;"",K11&lt;&gt;0),COUNTIFS(TNFa_Unknowns!$A:$A,K11,
TNFa_Unknowns!$I:$I,"OK"),"")</f>
        <v>1</v>
      </c>
      <c r="M11" s="61" t="str">
        <f>IF(AND(K11&lt;&gt;"",K11&lt;&gt;0),IF(L11=2,
AVERAGEIFS(
TNFa_Unknowns!$H:$H,
TNFa_Unknowns!$A:$A,K11,
TNFa_Unknowns!$I:$I,"OK"),
"N.C."),"")</f>
        <v>N.C.</v>
      </c>
      <c r="N11" s="61" t="str" cm="1">
        <f t="array" ref="N11">IF(AND(K11&lt;&gt;"",K11&lt;&gt;0),IF(L11=2,_xlfn.STDEV.S(_xlfn._xlws.FILTER(TNFa_Unknowns!$H:$H,(TNFa_Unknowns!$A:$A=K11)*(TNFa_Unknowns!$I:$I="OK"))),
"N.C."),"")</f>
        <v>N.C.</v>
      </c>
      <c r="O11" s="61" t="str">
        <f t="shared" si="2"/>
        <v>N.C.</v>
      </c>
      <c r="P11" s="61" t="str">
        <f t="shared" si="3"/>
        <v>N.C.</v>
      </c>
      <c r="Q11" s="58" t="str">
        <f>IF(AND(K11&lt;&gt;"",K11&lt;&gt;0),IF(COUNTIFS(TNFa_Unknowns!$A:$A,K11,TNFa_Unknowns!$I:$I,"OOR&gt;")&gt;0,
"OOR&gt;",
IF(COUNTIFS(TNFa_Unknowns!$A:$A,K11,TNFa_Unknowns!$I:$I,"OOR&lt;")&gt;0,
"OOR&lt;",
IF(COUNTIFS(TNFa_Unknowns!$A:$A,K11,TNFa_Unknowns!$I:$I,"OK")=2,
"quantifiable",
IF(COUNTIFS(TNFa_Unknowns!$A:$A,K11,TNFa_Unknowns!$I:$I,"&lt;LLOQ")=2,
"&lt;LLOQ",
IF(COUNTIFS(TNFa_Unknowns!$A:$A,K11,TNFa_Unknowns!$I:$I,"&gt;ULOQ")=2,
"&gt;ULOQ",
"review"))))),"")</f>
        <v>review</v>
      </c>
    </row>
    <row r="12" spans="1:17" x14ac:dyDescent="0.2">
      <c r="A12" s="70" t="s">
        <v>58</v>
      </c>
      <c r="B12" s="58">
        <v>1</v>
      </c>
      <c r="C12" s="58">
        <v>92.82</v>
      </c>
      <c r="D12" s="42">
        <f>_xlfn.XLOOKUP(C12,tblTNFa[NetMFI],tblTNFa[NetMFI],"OOR&lt;",-1)</f>
        <v>70.939196579494606</v>
      </c>
      <c r="E12" s="42">
        <f>_xlfn.XLOOKUP(C12,tblTNFa[NetMFI],tblTNFa[Concentration],"OOR&lt;",-1)</f>
        <v>2.4915115115115101</v>
      </c>
      <c r="F12" s="42">
        <f>_xlfn.XLOOKUP(C12,tblTNFa[NetMFI],tblTNFa[NetMFI],"OOR&gt;",1)</f>
        <v>148.02761478666801</v>
      </c>
      <c r="G12" s="42">
        <f>_xlfn.XLOOKUP(C12,tblTNFa[NetMFI],tblTNFa[Concentration],"OOR&gt;",1)</f>
        <v>4.4930230230230199</v>
      </c>
      <c r="H12" s="45">
        <f t="shared" si="1"/>
        <v>3.0596212346811402</v>
      </c>
      <c r="I12" s="60" t="str">
        <f t="shared" si="0"/>
        <v>OK</v>
      </c>
      <c r="K12" s="58" t="str">
        <v>25-7-11</v>
      </c>
      <c r="L12" s="60">
        <f>IF(AND(K12&lt;&gt;"",K12&lt;&gt;0),COUNTIFS(TNFa_Unknowns!$A:$A,K12,
TNFa_Unknowns!$I:$I,"OK"),"")</f>
        <v>1</v>
      </c>
      <c r="M12" s="61" t="str">
        <f>IF(AND(K12&lt;&gt;"",K12&lt;&gt;0),IF(L12=2,
AVERAGEIFS(
TNFa_Unknowns!$H:$H,
TNFa_Unknowns!$A:$A,K12,
TNFa_Unknowns!$I:$I,"OK"),
"N.C."),"")</f>
        <v>N.C.</v>
      </c>
      <c r="N12" s="61" t="str" cm="1">
        <f t="array" ref="N12">IF(AND(K12&lt;&gt;"",K12&lt;&gt;0),IF(L12=2,_xlfn.STDEV.S(_xlfn._xlws.FILTER(TNFa_Unknowns!$H:$H,(TNFa_Unknowns!$A:$A=K12)*(TNFa_Unknowns!$I:$I="OK"))),
"N.C."),"")</f>
        <v>N.C.</v>
      </c>
      <c r="O12" s="61" t="str">
        <f t="shared" si="2"/>
        <v>N.C.</v>
      </c>
      <c r="P12" s="61" t="str">
        <f t="shared" si="3"/>
        <v>N.C.</v>
      </c>
      <c r="Q12" s="58" t="str">
        <f>IF(AND(K12&lt;&gt;"",K12&lt;&gt;0),IF(COUNTIFS(TNFa_Unknowns!$A:$A,K12,TNFa_Unknowns!$I:$I,"OOR&gt;")&gt;0,
"OOR&gt;",
IF(COUNTIFS(TNFa_Unknowns!$A:$A,K12,TNFa_Unknowns!$I:$I,"OOR&lt;")&gt;0,
"OOR&lt;",
IF(COUNTIFS(TNFa_Unknowns!$A:$A,K12,TNFa_Unknowns!$I:$I,"OK")=2,
"quantifiable",
IF(COUNTIFS(TNFa_Unknowns!$A:$A,K12,TNFa_Unknowns!$I:$I,"&lt;LLOQ")=2,
"&lt;LLOQ",
IF(COUNTIFS(TNFa_Unknowns!$A:$A,K12,TNFa_Unknowns!$I:$I,"&gt;ULOQ")=2,
"&gt;ULOQ",
"review"))))),"")</f>
        <v>review</v>
      </c>
    </row>
    <row r="13" spans="1:17" x14ac:dyDescent="0.2">
      <c r="A13" s="70" t="s">
        <v>58</v>
      </c>
      <c r="B13" s="58">
        <v>2</v>
      </c>
      <c r="C13" s="58">
        <v>44.77</v>
      </c>
      <c r="D13" s="42">
        <f>_xlfn.XLOOKUP(C13,tblTNFa[NetMFI],tblTNFa[NetMFI],"OOR&lt;",-1)</f>
        <v>19.852967194712999</v>
      </c>
      <c r="E13" s="42">
        <f>_xlfn.XLOOKUP(C13,tblTNFa[NetMFI],tblTNFa[Concentration],"OOR&lt;",-1)</f>
        <v>0.49</v>
      </c>
      <c r="F13" s="42">
        <f>_xlfn.XLOOKUP(C13,tblTNFa[NetMFI],tblTNFa[NetMFI],"OOR&gt;",1)</f>
        <v>70.939196579494606</v>
      </c>
      <c r="G13" s="42">
        <f>_xlfn.XLOOKUP(C13,tblTNFa[NetMFI],tblTNFa[Concentration],"OOR&gt;",1)</f>
        <v>2.4915115115115101</v>
      </c>
      <c r="H13" s="45">
        <f t="shared" si="1"/>
        <v>1.4662264428806813</v>
      </c>
      <c r="I13" s="60" t="str">
        <f t="shared" si="0"/>
        <v>&lt;LLOQ</v>
      </c>
      <c r="K13" s="58" t="str">
        <v>25-7-12</v>
      </c>
      <c r="L13" s="60">
        <f>IF(AND(K13&lt;&gt;"",K13&lt;&gt;0),COUNTIFS(TNFa_Unknowns!$A:$A,K13,
TNFa_Unknowns!$I:$I,"OK"),"")</f>
        <v>1</v>
      </c>
      <c r="M13" s="61" t="str">
        <f>IF(AND(K13&lt;&gt;"",K13&lt;&gt;0),IF(L13=2,
AVERAGEIFS(
TNFa_Unknowns!$H:$H,
TNFa_Unknowns!$A:$A,K13,
TNFa_Unknowns!$I:$I,"OK"),
"N.C."),"")</f>
        <v>N.C.</v>
      </c>
      <c r="N13" s="61" t="str" cm="1">
        <f t="array" ref="N13">IF(AND(K13&lt;&gt;"",K13&lt;&gt;0),IF(L13=2,_xlfn.STDEV.S(_xlfn._xlws.FILTER(TNFa_Unknowns!$H:$H,(TNFa_Unknowns!$A:$A=K13)*(TNFa_Unknowns!$I:$I="OK"))),
"N.C."),"")</f>
        <v>N.C.</v>
      </c>
      <c r="O13" s="61" t="str">
        <f t="shared" si="2"/>
        <v>N.C.</v>
      </c>
      <c r="P13" s="61" t="str">
        <f t="shared" si="3"/>
        <v>N.C.</v>
      </c>
      <c r="Q13" s="58" t="str">
        <f>IF(AND(K13&lt;&gt;"",K13&lt;&gt;0),IF(COUNTIFS(TNFa_Unknowns!$A:$A,K13,TNFa_Unknowns!$I:$I,"OOR&gt;")&gt;0,
"OOR&gt;",
IF(COUNTIFS(TNFa_Unknowns!$A:$A,K13,TNFa_Unknowns!$I:$I,"OOR&lt;")&gt;0,
"OOR&lt;",
IF(COUNTIFS(TNFa_Unknowns!$A:$A,K13,TNFa_Unknowns!$I:$I,"OK")=2,
"quantifiable",
IF(COUNTIFS(TNFa_Unknowns!$A:$A,K13,TNFa_Unknowns!$I:$I,"&lt;LLOQ")=2,
"&lt;LLOQ",
IF(COUNTIFS(TNFa_Unknowns!$A:$A,K13,TNFa_Unknowns!$I:$I,"&gt;ULOQ")=2,
"&gt;ULOQ",
"review"))))),"")</f>
        <v>review</v>
      </c>
    </row>
    <row r="14" spans="1:17" x14ac:dyDescent="0.2">
      <c r="A14" s="70" t="s">
        <v>59</v>
      </c>
      <c r="B14" s="58">
        <v>1</v>
      </c>
      <c r="C14" s="58">
        <v>79.47</v>
      </c>
      <c r="D14" s="42">
        <f>_xlfn.XLOOKUP(C14,tblTNFa[NetMFI],tblTNFa[NetMFI],"OOR&lt;",-1)</f>
        <v>70.939196579494606</v>
      </c>
      <c r="E14" s="42">
        <f>_xlfn.XLOOKUP(C14,tblTNFa[NetMFI],tblTNFa[Concentration],"OOR&lt;",-1)</f>
        <v>2.4915115115115101</v>
      </c>
      <c r="F14" s="42">
        <f>_xlfn.XLOOKUP(C14,tblTNFa[NetMFI],tblTNFa[NetMFI],"OOR&gt;",1)</f>
        <v>148.02761478666801</v>
      </c>
      <c r="G14" s="42">
        <f>_xlfn.XLOOKUP(C14,tblTNFa[NetMFI],tblTNFa[Concentration],"OOR&gt;",1)</f>
        <v>4.4930230230230199</v>
      </c>
      <c r="H14" s="45">
        <f t="shared" si="1"/>
        <v>2.7130039437818931</v>
      </c>
      <c r="I14" s="60" t="str">
        <f t="shared" si="0"/>
        <v>OK</v>
      </c>
      <c r="K14" s="58" t="str">
        <v>25-7-13</v>
      </c>
      <c r="L14" s="60">
        <f>IF(AND(K14&lt;&gt;"",K14&lt;&gt;0),COUNTIFS(TNFa_Unknowns!$A:$A,K14,
TNFa_Unknowns!$I:$I,"OK"),"")</f>
        <v>1</v>
      </c>
      <c r="M14" s="61" t="str">
        <f>IF(AND(K14&lt;&gt;"",K14&lt;&gt;0),IF(L14=2,
AVERAGEIFS(
TNFa_Unknowns!$H:$H,
TNFa_Unknowns!$A:$A,K14,
TNFa_Unknowns!$I:$I,"OK"),
"N.C."),"")</f>
        <v>N.C.</v>
      </c>
      <c r="N14" s="61" t="str" cm="1">
        <f t="array" ref="N14">IF(AND(K14&lt;&gt;"",K14&lt;&gt;0),IF(L14=2,_xlfn.STDEV.S(_xlfn._xlws.FILTER(TNFa_Unknowns!$H:$H,(TNFa_Unknowns!$A:$A=K14)*(TNFa_Unknowns!$I:$I="OK"))),
"N.C."),"")</f>
        <v>N.C.</v>
      </c>
      <c r="O14" s="61" t="str">
        <f t="shared" si="2"/>
        <v>N.C.</v>
      </c>
      <c r="P14" s="61" t="str">
        <f t="shared" si="3"/>
        <v>N.C.</v>
      </c>
      <c r="Q14" s="58" t="str">
        <f>IF(AND(K14&lt;&gt;"",K14&lt;&gt;0),IF(COUNTIFS(TNFa_Unknowns!$A:$A,K14,TNFa_Unknowns!$I:$I,"OOR&gt;")&gt;0,
"OOR&gt;",
IF(COUNTIFS(TNFa_Unknowns!$A:$A,K14,TNFa_Unknowns!$I:$I,"OOR&lt;")&gt;0,
"OOR&lt;",
IF(COUNTIFS(TNFa_Unknowns!$A:$A,K14,TNFa_Unknowns!$I:$I,"OK")=2,
"quantifiable",
IF(COUNTIFS(TNFa_Unknowns!$A:$A,K14,TNFa_Unknowns!$I:$I,"&lt;LLOQ")=2,
"&lt;LLOQ",
IF(COUNTIFS(TNFa_Unknowns!$A:$A,K14,TNFa_Unknowns!$I:$I,"&gt;ULOQ")=2,
"&gt;ULOQ",
"review"))))),"")</f>
        <v>review</v>
      </c>
    </row>
    <row r="15" spans="1:17" x14ac:dyDescent="0.2">
      <c r="A15" s="70" t="s">
        <v>59</v>
      </c>
      <c r="B15" s="58">
        <v>2</v>
      </c>
      <c r="C15" s="58">
        <v>88.15</v>
      </c>
      <c r="D15" s="42">
        <f>_xlfn.XLOOKUP(C15,tblTNFa[NetMFI],tblTNFa[NetMFI],"OOR&lt;",-1)</f>
        <v>70.939196579494606</v>
      </c>
      <c r="E15" s="42">
        <f>_xlfn.XLOOKUP(C15,tblTNFa[NetMFI],tblTNFa[Concentration],"OOR&lt;",-1)</f>
        <v>2.4915115115115101</v>
      </c>
      <c r="F15" s="42">
        <f>_xlfn.XLOOKUP(C15,tblTNFa[NetMFI],tblTNFa[NetMFI],"OOR&gt;",1)</f>
        <v>148.02761478666801</v>
      </c>
      <c r="G15" s="42">
        <f>_xlfn.XLOOKUP(C15,tblTNFa[NetMFI],tblTNFa[Concentration],"OOR&gt;",1)</f>
        <v>4.4930230230230199</v>
      </c>
      <c r="H15" s="45">
        <f t="shared" si="1"/>
        <v>2.9383700924714411</v>
      </c>
      <c r="I15" s="60" t="str">
        <f t="shared" si="0"/>
        <v>OK</v>
      </c>
      <c r="K15" s="58" t="str">
        <v>25-7-14</v>
      </c>
      <c r="L15" s="60">
        <f>IF(AND(K15&lt;&gt;"",K15&lt;&gt;0),COUNTIFS(TNFa_Unknowns!$A:$A,K15,
TNFa_Unknowns!$I:$I,"OK"),"")</f>
        <v>1</v>
      </c>
      <c r="M15" s="61" t="str">
        <f>IF(AND(K15&lt;&gt;"",K15&lt;&gt;0),IF(L15=2,
AVERAGEIFS(
TNFa_Unknowns!$H:$H,
TNFa_Unknowns!$A:$A,K15,
TNFa_Unknowns!$I:$I,"OK"),
"N.C."),"")</f>
        <v>N.C.</v>
      </c>
      <c r="N15" s="61" t="str" cm="1">
        <f t="array" ref="N15">IF(AND(K15&lt;&gt;"",K15&lt;&gt;0),IF(L15=2,_xlfn.STDEV.S(_xlfn._xlws.FILTER(TNFa_Unknowns!$H:$H,(TNFa_Unknowns!$A:$A=K15)*(TNFa_Unknowns!$I:$I="OK"))),
"N.C."),"")</f>
        <v>N.C.</v>
      </c>
      <c r="O15" s="61" t="str">
        <f t="shared" si="2"/>
        <v>N.C.</v>
      </c>
      <c r="P15" s="61" t="str">
        <f t="shared" si="3"/>
        <v>N.C.</v>
      </c>
      <c r="Q15" s="58" t="str">
        <f>IF(AND(K15&lt;&gt;"",K15&lt;&gt;0),IF(COUNTIFS(TNFa_Unknowns!$A:$A,K15,TNFa_Unknowns!$I:$I,"OOR&gt;")&gt;0,
"OOR&gt;",
IF(COUNTIFS(TNFa_Unknowns!$A:$A,K15,TNFa_Unknowns!$I:$I,"OOR&lt;")&gt;0,
"OOR&lt;",
IF(COUNTIFS(TNFa_Unknowns!$A:$A,K15,TNFa_Unknowns!$I:$I,"OK")=2,
"quantifiable",
IF(COUNTIFS(TNFa_Unknowns!$A:$A,K15,TNFa_Unknowns!$I:$I,"&lt;LLOQ")=2,
"&lt;LLOQ",
IF(COUNTIFS(TNFa_Unknowns!$A:$A,K15,TNFa_Unknowns!$I:$I,"&gt;ULOQ")=2,
"&gt;ULOQ",
"review"))))),"")</f>
        <v>review</v>
      </c>
    </row>
    <row r="16" spans="1:17" x14ac:dyDescent="0.2">
      <c r="A16" s="70" t="s">
        <v>60</v>
      </c>
      <c r="B16" s="58">
        <v>1</v>
      </c>
      <c r="C16" s="58">
        <v>101.34</v>
      </c>
      <c r="D16" s="42">
        <f>_xlfn.XLOOKUP(C16,tblTNFa[NetMFI],tblTNFa[NetMFI],"OOR&lt;",-1)</f>
        <v>70.939196579494606</v>
      </c>
      <c r="E16" s="42">
        <f>_xlfn.XLOOKUP(C16,tblTNFa[NetMFI],tblTNFa[Concentration],"OOR&lt;",-1)</f>
        <v>2.4915115115115101</v>
      </c>
      <c r="F16" s="42">
        <f>_xlfn.XLOOKUP(C16,tblTNFa[NetMFI],tblTNFa[NetMFI],"OOR&gt;",1)</f>
        <v>148.02761478666801</v>
      </c>
      <c r="G16" s="42">
        <f>_xlfn.XLOOKUP(C16,tblTNFa[NetMFI],tblTNFa[Concentration],"OOR&gt;",1)</f>
        <v>4.4930230230230199</v>
      </c>
      <c r="H16" s="45">
        <f t="shared" si="1"/>
        <v>3.2808331686483005</v>
      </c>
      <c r="I16" s="60" t="str">
        <f t="shared" si="0"/>
        <v>OK</v>
      </c>
      <c r="K16" s="58" t="str">
        <v>25-7-15</v>
      </c>
      <c r="L16" s="60">
        <f>IF(AND(K16&lt;&gt;"",K16&lt;&gt;0),COUNTIFS(TNFa_Unknowns!$A:$A,K16,
TNFa_Unknowns!$I:$I,"OK"),"")</f>
        <v>2</v>
      </c>
      <c r="M16" s="62">
        <f>IF(AND(K16&lt;&gt;"",K16&lt;&gt;0),IF(L16=2,
AVERAGEIFS(
TNFa_Unknowns!$H:$H,
TNFa_Unknowns!$A:$A,K16,
TNFa_Unknowns!$I:$I,"OK"),
"N.C."),"")</f>
        <v>8.2304884525266004</v>
      </c>
      <c r="N16" s="61" cm="1">
        <f t="array" ref="N16">IF(AND(K16&lt;&gt;"",K16&lt;&gt;0),IF(L16=2,_xlfn.STDEV.S(_xlfn._xlws.FILTER(TNFa_Unknowns!$H:$H,(TNFa_Unknowns!$A:$A=K16)*(TNFa_Unknowns!$I:$I="OK"))),
"N.C."),"")</f>
        <v>0.90347498402403192</v>
      </c>
      <c r="O16" s="61">
        <f t="shared" si="2"/>
        <v>0.63885328783580064</v>
      </c>
      <c r="P16" s="61">
        <f t="shared" si="3"/>
        <v>10.977173338317273</v>
      </c>
      <c r="Q16" s="58" t="str">
        <f>IF(AND(K16&lt;&gt;"",K16&lt;&gt;0),IF(COUNTIFS(TNFa_Unknowns!$A:$A,K16,TNFa_Unknowns!$I:$I,"OOR&gt;")&gt;0,
"OOR&gt;",
IF(COUNTIFS(TNFa_Unknowns!$A:$A,K16,TNFa_Unknowns!$I:$I,"OOR&lt;")&gt;0,
"OOR&lt;",
IF(COUNTIFS(TNFa_Unknowns!$A:$A,K16,TNFa_Unknowns!$I:$I,"OK")=2,
"quantifiable",
IF(COUNTIFS(TNFa_Unknowns!$A:$A,K16,TNFa_Unknowns!$I:$I,"&lt;LLOQ")=2,
"&lt;LLOQ",
IF(COUNTIFS(TNFa_Unknowns!$A:$A,K16,TNFa_Unknowns!$I:$I,"&gt;ULOQ")=2,
"&gt;ULOQ",
"review"))))),"")</f>
        <v>quantifiable</v>
      </c>
    </row>
    <row r="17" spans="1:17" x14ac:dyDescent="0.2">
      <c r="A17" s="70" t="s">
        <v>60</v>
      </c>
      <c r="B17" s="58">
        <v>2</v>
      </c>
      <c r="C17" s="58">
        <v>85.08</v>
      </c>
      <c r="D17" s="42">
        <f>_xlfn.XLOOKUP(C17,tblTNFa[NetMFI],tblTNFa[NetMFI],"OOR&lt;",-1)</f>
        <v>70.939196579494606</v>
      </c>
      <c r="E17" s="42">
        <f>_xlfn.XLOOKUP(C17,tblTNFa[NetMFI],tblTNFa[Concentration],"OOR&lt;",-1)</f>
        <v>2.4915115115115101</v>
      </c>
      <c r="F17" s="42">
        <f>_xlfn.XLOOKUP(C17,tblTNFa[NetMFI],tblTNFa[NetMFI],"OOR&gt;",1)</f>
        <v>148.02761478666801</v>
      </c>
      <c r="G17" s="42">
        <f>_xlfn.XLOOKUP(C17,tblTNFa[NetMFI],tblTNFa[Concentration],"OOR&gt;",1)</f>
        <v>4.4930230230230199</v>
      </c>
      <c r="H17" s="45">
        <f t="shared" si="1"/>
        <v>2.8586610974856215</v>
      </c>
      <c r="I17" s="60" t="str">
        <f t="shared" si="0"/>
        <v>OK</v>
      </c>
      <c r="K17" s="58" t="str">
        <v>25-7-16</v>
      </c>
      <c r="L17" s="60">
        <f>IF(AND(K17&lt;&gt;"",K17&lt;&gt;0),COUNTIFS(TNFa_Unknowns!$A:$A,K17,
TNFa_Unknowns!$I:$I,"OK"),"")</f>
        <v>2</v>
      </c>
      <c r="M17" s="62">
        <f>IF(AND(K17&lt;&gt;"",K17&lt;&gt;0),IF(L17=2,
AVERAGEIFS(
TNFa_Unknowns!$H:$H,
TNFa_Unknowns!$A:$A,K17,
TNFa_Unknowns!$I:$I,"OK"),
"N.C."),"")</f>
        <v>11.41186539874213</v>
      </c>
      <c r="N17" s="61" cm="1">
        <f t="array" ref="N17">IF(AND(K17&lt;&gt;"",K17&lt;&gt;0),IF(L17=2,_xlfn.STDEV.S(_xlfn._xlws.FILTER(TNFa_Unknowns!$H:$H,(TNFa_Unknowns!$A:$A=K17)*(TNFa_Unknowns!$I:$I="OK"))),
"N.C."),"")</f>
        <v>0.81652746474989568</v>
      </c>
      <c r="O17" s="61">
        <f t="shared" si="2"/>
        <v>0.57737210734971089</v>
      </c>
      <c r="P17" s="61">
        <f t="shared" si="3"/>
        <v>7.1550744441824312</v>
      </c>
      <c r="Q17" s="58" t="str">
        <f>IF(AND(K17&lt;&gt;"",K17&lt;&gt;0),IF(COUNTIFS(TNFa_Unknowns!$A:$A,K17,TNFa_Unknowns!$I:$I,"OOR&gt;")&gt;0,
"OOR&gt;",
IF(COUNTIFS(TNFa_Unknowns!$A:$A,K17,TNFa_Unknowns!$I:$I,"OOR&lt;")&gt;0,
"OOR&lt;",
IF(COUNTIFS(TNFa_Unknowns!$A:$A,K17,TNFa_Unknowns!$I:$I,"OK")=2,
"quantifiable",
IF(COUNTIFS(TNFa_Unknowns!$A:$A,K17,TNFa_Unknowns!$I:$I,"&lt;LLOQ")=2,
"&lt;LLOQ",
IF(COUNTIFS(TNFa_Unknowns!$A:$A,K17,TNFa_Unknowns!$I:$I,"&gt;ULOQ")=2,
"&gt;ULOQ",
"review"))))),"")</f>
        <v>quantifiable</v>
      </c>
    </row>
    <row r="18" spans="1:17" x14ac:dyDescent="0.2">
      <c r="A18" s="70" t="s">
        <v>61</v>
      </c>
      <c r="B18" s="58">
        <v>1</v>
      </c>
      <c r="C18" s="58">
        <v>112.15</v>
      </c>
      <c r="D18" s="42">
        <f>_xlfn.XLOOKUP(C18,tblTNFa[NetMFI],tblTNFa[NetMFI],"OOR&lt;",-1)</f>
        <v>70.939196579494606</v>
      </c>
      <c r="E18" s="42">
        <f>_xlfn.XLOOKUP(C18,tblTNFa[NetMFI],tblTNFa[Concentration],"OOR&lt;",-1)</f>
        <v>2.4915115115115101</v>
      </c>
      <c r="F18" s="42">
        <f>_xlfn.XLOOKUP(C18,tblTNFa[NetMFI],tblTNFa[NetMFI],"OOR&gt;",1)</f>
        <v>148.02761478666801</v>
      </c>
      <c r="G18" s="42">
        <f>_xlfn.XLOOKUP(C18,tblTNFa[NetMFI],tblTNFa[Concentration],"OOR&gt;",1)</f>
        <v>4.4930230230230199</v>
      </c>
      <c r="H18" s="45">
        <f t="shared" si="1"/>
        <v>3.5615023008296385</v>
      </c>
      <c r="I18" s="60" t="str">
        <f t="shared" si="0"/>
        <v>OK</v>
      </c>
      <c r="K18" s="58" t="str">
        <v>25-7-17</v>
      </c>
      <c r="L18" s="60">
        <f>IF(AND(K18&lt;&gt;"",K18&lt;&gt;0),COUNTIFS(TNFa_Unknowns!$A:$A,K18,
TNFa_Unknowns!$I:$I,"OK"),"")</f>
        <v>2</v>
      </c>
      <c r="M18" s="62">
        <f>IF(AND(K18&lt;&gt;"",K18&lt;&gt;0),IF(L18=2,
AVERAGEIFS(
TNFa_Unknowns!$H:$H,
TNFa_Unknowns!$A:$A,K18,
TNFa_Unknowns!$I:$I,"OK"),
"N.C."),"")</f>
        <v>7.3564300277994743</v>
      </c>
      <c r="N18" s="61" cm="1">
        <f t="array" ref="N18">IF(AND(K18&lt;&gt;"",K18&lt;&gt;0),IF(L18=2,_xlfn.STDEV.S(_xlfn._xlws.FILTER(TNFa_Unknowns!$H:$H,(TNFa_Unknowns!$A:$A=K18)*(TNFa_Unknowns!$I:$I="OK"))),
"N.C."),"")</f>
        <v>0.27519021227334023</v>
      </c>
      <c r="O18" s="61">
        <f t="shared" si="2"/>
        <v>0.19458886521464433</v>
      </c>
      <c r="P18" s="61">
        <f t="shared" si="3"/>
        <v>3.7408119323287816</v>
      </c>
      <c r="Q18" s="58" t="str">
        <f>IF(AND(K18&lt;&gt;"",K18&lt;&gt;0),IF(COUNTIFS(TNFa_Unknowns!$A:$A,K18,TNFa_Unknowns!$I:$I,"OOR&gt;")&gt;0,
"OOR&gt;",
IF(COUNTIFS(TNFa_Unknowns!$A:$A,K18,TNFa_Unknowns!$I:$I,"OOR&lt;")&gt;0,
"OOR&lt;",
IF(COUNTIFS(TNFa_Unknowns!$A:$A,K18,TNFa_Unknowns!$I:$I,"OK")=2,
"quantifiable",
IF(COUNTIFS(TNFa_Unknowns!$A:$A,K18,TNFa_Unknowns!$I:$I,"&lt;LLOQ")=2,
"&lt;LLOQ",
IF(COUNTIFS(TNFa_Unknowns!$A:$A,K18,TNFa_Unknowns!$I:$I,"&gt;ULOQ")=2,
"&gt;ULOQ",
"review"))))),"")</f>
        <v>quantifiable</v>
      </c>
    </row>
    <row r="19" spans="1:17" x14ac:dyDescent="0.2">
      <c r="A19" s="70" t="s">
        <v>61</v>
      </c>
      <c r="B19" s="58">
        <v>2</v>
      </c>
      <c r="C19" s="58">
        <v>81.41</v>
      </c>
      <c r="D19" s="42">
        <f>_xlfn.XLOOKUP(C19,tblTNFa[NetMFI],tblTNFa[NetMFI],"OOR&lt;",-1)</f>
        <v>70.939196579494606</v>
      </c>
      <c r="E19" s="42">
        <f>_xlfn.XLOOKUP(C19,tblTNFa[NetMFI],tblTNFa[Concentration],"OOR&lt;",-1)</f>
        <v>2.4915115115115101</v>
      </c>
      <c r="F19" s="42">
        <f>_xlfn.XLOOKUP(C19,tblTNFa[NetMFI],tblTNFa[NetMFI],"OOR&gt;",1)</f>
        <v>148.02761478666801</v>
      </c>
      <c r="G19" s="42">
        <f>_xlfn.XLOOKUP(C19,tblTNFa[NetMFI],tblTNFa[Concentration],"OOR&gt;",1)</f>
        <v>4.4930230230230199</v>
      </c>
      <c r="H19" s="45">
        <f t="shared" si="1"/>
        <v>2.7633737972908472</v>
      </c>
      <c r="I19" s="60" t="str">
        <f t="shared" si="0"/>
        <v>OK</v>
      </c>
      <c r="K19" s="58" t="str">
        <v>25-7-18</v>
      </c>
      <c r="L19" s="60">
        <f>IF(AND(K19&lt;&gt;"",K19&lt;&gt;0),COUNTIFS(TNFa_Unknowns!$A:$A,K19,
TNFa_Unknowns!$I:$I,"OK"),"")</f>
        <v>2</v>
      </c>
      <c r="M19" s="62">
        <f>IF(AND(K19&lt;&gt;"",K19&lt;&gt;0),IF(L19=2,
AVERAGEIFS(
TNFa_Unknowns!$H:$H,
TNFa_Unknowns!$A:$A,K19,
TNFa_Unknowns!$I:$I,"OK"),
"N.C."),"")</f>
        <v>14.432863532251968</v>
      </c>
      <c r="N19" s="61" cm="1">
        <f t="array" ref="N19">IF(AND(K19&lt;&gt;"",K19&lt;&gt;0),IF(L19=2,_xlfn.STDEV.S(_xlfn._xlws.FILTER(TNFa_Unknowns!$H:$H,(TNFa_Unknowns!$A:$A=K19)*(TNFa_Unknowns!$I:$I="OK"))),
"N.C."),"")</f>
        <v>0.17501360934365845</v>
      </c>
      <c r="O19" s="61">
        <f t="shared" si="2"/>
        <v>0.1237533099668342</v>
      </c>
      <c r="P19" s="61">
        <f t="shared" si="3"/>
        <v>1.2126048926643662</v>
      </c>
      <c r="Q19" s="58" t="str">
        <f>IF(AND(K19&lt;&gt;"",K19&lt;&gt;0),IF(COUNTIFS(TNFa_Unknowns!$A:$A,K19,TNFa_Unknowns!$I:$I,"OOR&gt;")&gt;0,
"OOR&gt;",
IF(COUNTIFS(TNFa_Unknowns!$A:$A,K19,TNFa_Unknowns!$I:$I,"OOR&lt;")&gt;0,
"OOR&lt;",
IF(COUNTIFS(TNFa_Unknowns!$A:$A,K19,TNFa_Unknowns!$I:$I,"OK")=2,
"quantifiable",
IF(COUNTIFS(TNFa_Unknowns!$A:$A,K19,TNFa_Unknowns!$I:$I,"&lt;LLOQ")=2,
"&lt;LLOQ",
IF(COUNTIFS(TNFa_Unknowns!$A:$A,K19,TNFa_Unknowns!$I:$I,"&gt;ULOQ")=2,
"&gt;ULOQ",
"review"))))),"")</f>
        <v>quantifiable</v>
      </c>
    </row>
    <row r="20" spans="1:17" x14ac:dyDescent="0.2">
      <c r="A20" s="70" t="s">
        <v>62</v>
      </c>
      <c r="B20" s="58">
        <v>1</v>
      </c>
      <c r="C20" s="58">
        <v>97.64</v>
      </c>
      <c r="D20" s="42">
        <f>_xlfn.XLOOKUP(C20,tblTNFa[NetMFI],tblTNFa[NetMFI],"OOR&lt;",-1)</f>
        <v>70.939196579494606</v>
      </c>
      <c r="E20" s="42">
        <f>_xlfn.XLOOKUP(C20,tblTNFa[NetMFI],tblTNFa[Concentration],"OOR&lt;",-1)</f>
        <v>2.4915115115115101</v>
      </c>
      <c r="F20" s="42">
        <f>_xlfn.XLOOKUP(C20,tblTNFa[NetMFI],tblTNFa[NetMFI],"OOR&gt;",1)</f>
        <v>148.02761478666801</v>
      </c>
      <c r="G20" s="42">
        <f>_xlfn.XLOOKUP(C20,tblTNFa[NetMFI],tblTNFa[Concentration],"OOR&gt;",1)</f>
        <v>4.4930230230230199</v>
      </c>
      <c r="H20" s="45">
        <f t="shared" si="1"/>
        <v>3.1847669531930785</v>
      </c>
      <c r="I20" s="60" t="str">
        <f t="shared" si="0"/>
        <v>OK</v>
      </c>
      <c r="K20" s="58" t="str">
        <v>25-7-19</v>
      </c>
      <c r="L20" s="60">
        <f>IF(AND(K20&lt;&gt;"",K20&lt;&gt;0),COUNTIFS(TNFa_Unknowns!$A:$A,K20,
TNFa_Unknowns!$I:$I,"OK"),"")</f>
        <v>2</v>
      </c>
      <c r="M20" s="62">
        <f>IF(AND(K20&lt;&gt;"",K20&lt;&gt;0),IF(L20=2,
AVERAGEIFS(
TNFa_Unknowns!$H:$H,
TNFa_Unknowns!$A:$A,K20,
TNFa_Unknowns!$I:$I,"OK"),
"N.C."),"")</f>
        <v>8.96010671944242</v>
      </c>
      <c r="N20" s="61" cm="1">
        <f t="array" ref="N20">IF(AND(K20&lt;&gt;"",K20&lt;&gt;0),IF(L20=2,_xlfn.STDEV.S(_xlfn._xlws.FILTER(TNFa_Unknowns!$H:$H,(TNFa_Unknowns!$A:$A=K20)*(TNFa_Unknowns!$I:$I="OK"))),
"N.C."),"")</f>
        <v>1.7209550891152803</v>
      </c>
      <c r="O20" s="61">
        <f t="shared" si="2"/>
        <v>1.2168990136309139</v>
      </c>
      <c r="P20" s="61">
        <f t="shared" si="3"/>
        <v>19.206859281943618</v>
      </c>
      <c r="Q20" s="58" t="str">
        <f>IF(AND(K20&lt;&gt;"",K20&lt;&gt;0),IF(COUNTIFS(TNFa_Unknowns!$A:$A,K20,TNFa_Unknowns!$I:$I,"OOR&gt;")&gt;0,
"OOR&gt;",
IF(COUNTIFS(TNFa_Unknowns!$A:$A,K20,TNFa_Unknowns!$I:$I,"OOR&lt;")&gt;0,
"OOR&lt;",
IF(COUNTIFS(TNFa_Unknowns!$A:$A,K20,TNFa_Unknowns!$I:$I,"OK")=2,
"quantifiable",
IF(COUNTIFS(TNFa_Unknowns!$A:$A,K20,TNFa_Unknowns!$I:$I,"&lt;LLOQ")=2,
"&lt;LLOQ",
IF(COUNTIFS(TNFa_Unknowns!$A:$A,K20,TNFa_Unknowns!$I:$I,"&gt;ULOQ")=2,
"&gt;ULOQ",
"review"))))),"")</f>
        <v>quantifiable</v>
      </c>
    </row>
    <row r="21" spans="1:17" x14ac:dyDescent="0.2">
      <c r="A21" s="70" t="s">
        <v>62</v>
      </c>
      <c r="B21" s="58">
        <v>2</v>
      </c>
      <c r="C21" s="58">
        <v>47.45</v>
      </c>
      <c r="D21" s="42">
        <f>_xlfn.XLOOKUP(C21,tblTNFa[NetMFI],tblTNFa[NetMFI],"OOR&lt;",-1)</f>
        <v>19.852967194712999</v>
      </c>
      <c r="E21" s="42">
        <f>_xlfn.XLOOKUP(C21,tblTNFa[NetMFI],tblTNFa[Concentration],"OOR&lt;",-1)</f>
        <v>0.49</v>
      </c>
      <c r="F21" s="42">
        <f>_xlfn.XLOOKUP(C21,tblTNFa[NetMFI],tblTNFa[NetMFI],"OOR&gt;",1)</f>
        <v>70.939196579494606</v>
      </c>
      <c r="G21" s="42">
        <f>_xlfn.XLOOKUP(C21,tblTNFa[NetMFI],tblTNFa[Concentration],"OOR&gt;",1)</f>
        <v>2.4915115115115101</v>
      </c>
      <c r="H21" s="45">
        <f t="shared" si="1"/>
        <v>1.5712263795651604</v>
      </c>
      <c r="I21" s="60" t="str">
        <f t="shared" si="0"/>
        <v>&lt;LLOQ</v>
      </c>
      <c r="K21" s="58" t="str">
        <v>25-7-20</v>
      </c>
      <c r="L21" s="60">
        <f>IF(AND(K21&lt;&gt;"",K21&lt;&gt;0),COUNTIFS(TNFa_Unknowns!$A:$A,K21,
TNFa_Unknowns!$I:$I,"OK"),"")</f>
        <v>2</v>
      </c>
      <c r="M21" s="62">
        <f>IF(AND(K21&lt;&gt;"",K21&lt;&gt;0),IF(L21=2,
AVERAGEIFS(
TNFa_Unknowns!$H:$H,
TNFa_Unknowns!$A:$A,K21,
TNFa_Unknowns!$I:$I,"OK"),
"N.C."),"")</f>
        <v>2.6051884739931364</v>
      </c>
      <c r="N21" s="61" cm="1">
        <f t="array" ref="N21">IF(AND(K21&lt;&gt;"",K21&lt;&gt;0),IF(L21=2,_xlfn.STDEV.S(_xlfn._xlws.FILTER(TNFa_Unknowns!$H:$H,(TNFa_Unknowns!$A:$A=K21)*(TNFa_Unknowns!$I:$I="OK"))),
"N.C."),"")</f>
        <v>0.25602003698375642</v>
      </c>
      <c r="O21" s="61">
        <f t="shared" si="2"/>
        <v>0.18103350427084483</v>
      </c>
      <c r="P21" s="61">
        <f t="shared" si="3"/>
        <v>9.8273134377620828</v>
      </c>
      <c r="Q21" s="58" t="str">
        <f>IF(AND(K21&lt;&gt;"",K21&lt;&gt;0),IF(COUNTIFS(TNFa_Unknowns!$A:$A,K21,TNFa_Unknowns!$I:$I,"OOR&gt;")&gt;0,
"OOR&gt;",
IF(COUNTIFS(TNFa_Unknowns!$A:$A,K21,TNFa_Unknowns!$I:$I,"OOR&lt;")&gt;0,
"OOR&lt;",
IF(COUNTIFS(TNFa_Unknowns!$A:$A,K21,TNFa_Unknowns!$I:$I,"OK")=2,
"quantifiable",
IF(COUNTIFS(TNFa_Unknowns!$A:$A,K21,TNFa_Unknowns!$I:$I,"&lt;LLOQ")=2,
"&lt;LLOQ",
IF(COUNTIFS(TNFa_Unknowns!$A:$A,K21,TNFa_Unknowns!$I:$I,"&gt;ULOQ")=2,
"&gt;ULOQ",
"review"))))),"")</f>
        <v>quantifiable</v>
      </c>
    </row>
    <row r="22" spans="1:17" x14ac:dyDescent="0.2">
      <c r="A22" s="70" t="s">
        <v>63</v>
      </c>
      <c r="B22" s="58">
        <v>1</v>
      </c>
      <c r="C22" s="58">
        <v>69.290000000000006</v>
      </c>
      <c r="D22" s="42">
        <f>_xlfn.XLOOKUP(C22,tblTNFa[NetMFI],tblTNFa[NetMFI],"OOR&lt;",-1)</f>
        <v>19.852967194712999</v>
      </c>
      <c r="E22" s="42">
        <f>_xlfn.XLOOKUP(C22,tblTNFa[NetMFI],tblTNFa[Concentration],"OOR&lt;",-1)</f>
        <v>0.49</v>
      </c>
      <c r="F22" s="42">
        <f>_xlfn.XLOOKUP(C22,tblTNFa[NetMFI],tblTNFa[NetMFI],"OOR&gt;",1)</f>
        <v>70.939196579494606</v>
      </c>
      <c r="G22" s="42">
        <f>_xlfn.XLOOKUP(C22,tblTNFa[NetMFI],tblTNFa[Concentration],"OOR&gt;",1)</f>
        <v>2.4915115115115101</v>
      </c>
      <c r="H22" s="45">
        <f t="shared" si="1"/>
        <v>2.4268975053819606</v>
      </c>
      <c r="I22" s="60" t="str">
        <f t="shared" si="0"/>
        <v>OK</v>
      </c>
      <c r="K22" s="58" t="str">
        <v>25-7-21</v>
      </c>
      <c r="L22" s="60">
        <f>IF(AND(K22&lt;&gt;"",K22&lt;&gt;0),COUNTIFS(TNFa_Unknowns!$A:$A,K22,
TNFa_Unknowns!$I:$I,"OK"),"")</f>
        <v>2</v>
      </c>
      <c r="M22" s="62">
        <f>IF(AND(K22&lt;&gt;"",K22&lt;&gt;0),IF(L22=2,
AVERAGEIFS(
TNFa_Unknowns!$H:$H,
TNFa_Unknowns!$A:$A,K22,
TNFa_Unknowns!$I:$I,"OK"),
"N.C."),"")</f>
        <v>5.7278307139165943</v>
      </c>
      <c r="N22" s="61" cm="1">
        <f t="array" ref="N22">IF(AND(K22&lt;&gt;"",K22&lt;&gt;0),IF(L22=2,_xlfn.STDEV.S(_xlfn._xlws.FILTER(TNFa_Unknowns!$H:$H,(TNFa_Unknowns!$A:$A=K22)*(TNFa_Unknowns!$I:$I="OK"))),
"N.C."),"")</f>
        <v>0.66805553583821431</v>
      </c>
      <c r="O22" s="61">
        <f t="shared" si="2"/>
        <v>0.47238659960041396</v>
      </c>
      <c r="P22" s="61">
        <f t="shared" si="3"/>
        <v>11.663325422922794</v>
      </c>
      <c r="Q22" s="58" t="str">
        <f>IF(AND(K22&lt;&gt;"",K22&lt;&gt;0),IF(COUNTIFS(TNFa_Unknowns!$A:$A,K22,TNFa_Unknowns!$I:$I,"OOR&gt;")&gt;0,
"OOR&gt;",
IF(COUNTIFS(TNFa_Unknowns!$A:$A,K22,TNFa_Unknowns!$I:$I,"OOR&lt;")&gt;0,
"OOR&lt;",
IF(COUNTIFS(TNFa_Unknowns!$A:$A,K22,TNFa_Unknowns!$I:$I,"OK")=2,
"quantifiable",
IF(COUNTIFS(TNFa_Unknowns!$A:$A,K22,TNFa_Unknowns!$I:$I,"&lt;LLOQ")=2,
"&lt;LLOQ",
IF(COUNTIFS(TNFa_Unknowns!$A:$A,K22,TNFa_Unknowns!$I:$I,"&gt;ULOQ")=2,
"&gt;ULOQ",
"review"))))),"")</f>
        <v>quantifiable</v>
      </c>
    </row>
    <row r="23" spans="1:17" x14ac:dyDescent="0.2">
      <c r="A23" s="70" t="s">
        <v>63</v>
      </c>
      <c r="B23" s="58">
        <v>2</v>
      </c>
      <c r="C23" s="58">
        <v>41.39</v>
      </c>
      <c r="D23" s="42">
        <f>_xlfn.XLOOKUP(C23,tblTNFa[NetMFI],tblTNFa[NetMFI],"OOR&lt;",-1)</f>
        <v>19.852967194712999</v>
      </c>
      <c r="E23" s="42">
        <f>_xlfn.XLOOKUP(C23,tblTNFa[NetMFI],tblTNFa[Concentration],"OOR&lt;",-1)</f>
        <v>0.49</v>
      </c>
      <c r="F23" s="42">
        <f>_xlfn.XLOOKUP(C23,tblTNFa[NetMFI],tblTNFa[NetMFI],"OOR&gt;",1)</f>
        <v>70.939196579494606</v>
      </c>
      <c r="G23" s="42">
        <f>_xlfn.XLOOKUP(C23,tblTNFa[NetMFI],tblTNFa[Concentration],"OOR&gt;",1)</f>
        <v>2.4915115115115101</v>
      </c>
      <c r="H23" s="45">
        <f t="shared" si="1"/>
        <v>1.3338011495995097</v>
      </c>
      <c r="I23" s="60" t="str">
        <f t="shared" si="0"/>
        <v>&lt;LLOQ</v>
      </c>
      <c r="K23" s="58" t="str">
        <v>25-7-22</v>
      </c>
      <c r="L23" s="60">
        <f>IF(AND(K23&lt;&gt;"",K23&lt;&gt;0),COUNTIFS(TNFa_Unknowns!$A:$A,K23,
TNFa_Unknowns!$I:$I,"OK"),"")</f>
        <v>2</v>
      </c>
      <c r="M23" s="62">
        <f>IF(AND(K23&lt;&gt;"",K23&lt;&gt;0),IF(L23=2,
AVERAGEIFS(
TNFa_Unknowns!$H:$H,
TNFa_Unknowns!$A:$A,K23,
TNFa_Unknowns!$I:$I,"OK"),
"N.C."),"")</f>
        <v>3.5557902555863552</v>
      </c>
      <c r="N23" s="61" cm="1">
        <f t="array" ref="N23">IF(AND(K23&lt;&gt;"",K23&lt;&gt;0),IF(L23=2,_xlfn.STDEV.S(_xlfn._xlws.FILTER(TNFa_Unknowns!$H:$H,(TNFa_Unknowns!$A:$A=K23)*(TNFa_Unknowns!$I:$I="OK"))),
"N.C."),"")</f>
        <v>0.33487196768043076</v>
      </c>
      <c r="O23" s="61">
        <f t="shared" si="2"/>
        <v>0.23679023917611494</v>
      </c>
      <c r="P23" s="61">
        <f t="shared" si="3"/>
        <v>9.4176524375791626</v>
      </c>
      <c r="Q23" s="58" t="str">
        <f>IF(AND(K23&lt;&gt;"",K23&lt;&gt;0),IF(COUNTIFS(TNFa_Unknowns!$A:$A,K23,TNFa_Unknowns!$I:$I,"OOR&gt;")&gt;0,
"OOR&gt;",
IF(COUNTIFS(TNFa_Unknowns!$A:$A,K23,TNFa_Unknowns!$I:$I,"OOR&lt;")&gt;0,
"OOR&lt;",
IF(COUNTIFS(TNFa_Unknowns!$A:$A,K23,TNFa_Unknowns!$I:$I,"OK")=2,
"quantifiable",
IF(COUNTIFS(TNFa_Unknowns!$A:$A,K23,TNFa_Unknowns!$I:$I,"&lt;LLOQ")=2,
"&lt;LLOQ",
IF(COUNTIFS(TNFa_Unknowns!$A:$A,K23,TNFa_Unknowns!$I:$I,"&gt;ULOQ")=2,
"&gt;ULOQ",
"review"))))),"")</f>
        <v>quantifiable</v>
      </c>
    </row>
    <row r="24" spans="1:17" x14ac:dyDescent="0.2">
      <c r="A24" s="70" t="s">
        <v>64</v>
      </c>
      <c r="B24" s="58">
        <v>1</v>
      </c>
      <c r="C24" s="58">
        <v>50.47</v>
      </c>
      <c r="D24" s="42">
        <f>_xlfn.XLOOKUP(C24,tblTNFa[NetMFI],tblTNFa[NetMFI],"OOR&lt;",-1)</f>
        <v>19.852967194712999</v>
      </c>
      <c r="E24" s="42">
        <f>_xlfn.XLOOKUP(C24,tblTNFa[NetMFI],tblTNFa[Concentration],"OOR&lt;",-1)</f>
        <v>0.49</v>
      </c>
      <c r="F24" s="42">
        <f>_xlfn.XLOOKUP(C24,tblTNFa[NetMFI],tblTNFa[NetMFI],"OOR&gt;",1)</f>
        <v>70.939196579494606</v>
      </c>
      <c r="G24" s="42">
        <f>_xlfn.XLOOKUP(C24,tblTNFa[NetMFI],tblTNFa[Concentration],"OOR&gt;",1)</f>
        <v>2.4915115115115101</v>
      </c>
      <c r="H24" s="45">
        <f t="shared" si="1"/>
        <v>1.6895472037394612</v>
      </c>
      <c r="I24" s="60" t="str">
        <f t="shared" si="0"/>
        <v>&lt;LLOQ</v>
      </c>
      <c r="K24" s="58" t="str">
        <v>25-7-23</v>
      </c>
      <c r="L24" s="60">
        <f>IF(AND(K24&lt;&gt;"",K24&lt;&gt;0),COUNTIFS(TNFa_Unknowns!$A:$A,K24,
TNFa_Unknowns!$I:$I,"OK"),"")</f>
        <v>2</v>
      </c>
      <c r="M24" s="62">
        <f>IF(AND(K24&lt;&gt;"",K24&lt;&gt;0),IF(L24=2,
AVERAGEIFS(
TNFa_Unknowns!$H:$H,
TNFa_Unknowns!$A:$A,K24,
TNFa_Unknowns!$I:$I,"OK"),
"N.C."),"")</f>
        <v>2.8229608147151</v>
      </c>
      <c r="N24" s="61" cm="1">
        <f t="array" ref="N24">IF(AND(K24&lt;&gt;"",K24&lt;&gt;0),IF(L24=2,_xlfn.STDEV.S(_xlfn._xlws.FILTER(TNFa_Unknowns!$H:$H,(TNFa_Unknowns!$A:$A=K24)*(TNFa_Unknowns!$I:$I="OK"))),
"N.C."),"")</f>
        <v>0.19993178333552031</v>
      </c>
      <c r="O24" s="61">
        <f t="shared" si="2"/>
        <v>0.14137311977126599</v>
      </c>
      <c r="P24" s="61">
        <f t="shared" si="3"/>
        <v>7.0823435555090377</v>
      </c>
      <c r="Q24" s="58" t="str">
        <f>IF(AND(K24&lt;&gt;"",K24&lt;&gt;0),IF(COUNTIFS(TNFa_Unknowns!$A:$A,K24,TNFa_Unknowns!$I:$I,"OOR&gt;")&gt;0,
"OOR&gt;",
IF(COUNTIFS(TNFa_Unknowns!$A:$A,K24,TNFa_Unknowns!$I:$I,"OOR&lt;")&gt;0,
"OOR&lt;",
IF(COUNTIFS(TNFa_Unknowns!$A:$A,K24,TNFa_Unknowns!$I:$I,"OK")=2,
"quantifiable",
IF(COUNTIFS(TNFa_Unknowns!$A:$A,K24,TNFa_Unknowns!$I:$I,"&lt;LLOQ")=2,
"&lt;LLOQ",
IF(COUNTIFS(TNFa_Unknowns!$A:$A,K24,TNFa_Unknowns!$I:$I,"&gt;ULOQ")=2,
"&gt;ULOQ",
"review"))))),"")</f>
        <v>quantifiable</v>
      </c>
    </row>
    <row r="25" spans="1:17" x14ac:dyDescent="0.2">
      <c r="A25" s="70" t="s">
        <v>64</v>
      </c>
      <c r="B25" s="58">
        <v>2</v>
      </c>
      <c r="C25" s="58">
        <v>62.52</v>
      </c>
      <c r="D25" s="42">
        <f>_xlfn.XLOOKUP(C25,tblTNFa[NetMFI],tblTNFa[NetMFI],"OOR&lt;",-1)</f>
        <v>19.852967194712999</v>
      </c>
      <c r="E25" s="42">
        <f>_xlfn.XLOOKUP(C25,tblTNFa[NetMFI],tblTNFa[Concentration],"OOR&lt;",-1)</f>
        <v>0.49</v>
      </c>
      <c r="F25" s="42">
        <f>_xlfn.XLOOKUP(C25,tblTNFa[NetMFI],tblTNFa[NetMFI],"OOR&gt;",1)</f>
        <v>70.939196579494606</v>
      </c>
      <c r="G25" s="42">
        <f>_xlfn.XLOOKUP(C25,tblTNFa[NetMFI],tblTNFa[Concentration],"OOR&gt;",1)</f>
        <v>2.4915115115115101</v>
      </c>
      <c r="H25" s="45">
        <f t="shared" si="1"/>
        <v>2.1616551280110938</v>
      </c>
      <c r="I25" s="60" t="str">
        <f t="shared" si="0"/>
        <v>OK</v>
      </c>
      <c r="K25" s="58" t="str">
        <v>25-7-24</v>
      </c>
      <c r="L25" s="60">
        <f>IF(AND(K25&lt;&gt;"",K25&lt;&gt;0),COUNTIFS(TNFa_Unknowns!$A:$A,K25,
TNFa_Unknowns!$I:$I,"OK"),"")</f>
        <v>1</v>
      </c>
      <c r="M25" s="61" t="str">
        <f>IF(AND(K25&lt;&gt;"",K25&lt;&gt;0),IF(L25=2,
AVERAGEIFS(
TNFa_Unknowns!$H:$H,
TNFa_Unknowns!$A:$A,K25,
TNFa_Unknowns!$I:$I,"OK"),
"N.C."),"")</f>
        <v>N.C.</v>
      </c>
      <c r="N25" s="61" t="str" cm="1">
        <f t="array" ref="N25">IF(AND(K25&lt;&gt;"",K25&lt;&gt;0),IF(L25=2,_xlfn.STDEV.S(_xlfn._xlws.FILTER(TNFa_Unknowns!$H:$H,(TNFa_Unknowns!$A:$A=K25)*(TNFa_Unknowns!$I:$I="OK"))),
"N.C."),"")</f>
        <v>N.C.</v>
      </c>
      <c r="O25" s="61" t="str">
        <f t="shared" si="2"/>
        <v>N.C.</v>
      </c>
      <c r="P25" s="61" t="str">
        <f t="shared" si="3"/>
        <v>N.C.</v>
      </c>
      <c r="Q25" s="58" t="str">
        <f>IF(AND(K25&lt;&gt;"",K25&lt;&gt;0),IF(COUNTIFS(TNFa_Unknowns!$A:$A,K25,TNFa_Unknowns!$I:$I,"OOR&gt;")&gt;0,
"OOR&gt;",
IF(COUNTIFS(TNFa_Unknowns!$A:$A,K25,TNFa_Unknowns!$I:$I,"OOR&lt;")&gt;0,
"OOR&lt;",
IF(COUNTIFS(TNFa_Unknowns!$A:$A,K25,TNFa_Unknowns!$I:$I,"OK")=2,
"quantifiable",
IF(COUNTIFS(TNFa_Unknowns!$A:$A,K25,TNFa_Unknowns!$I:$I,"&lt;LLOQ")=2,
"&lt;LLOQ",
IF(COUNTIFS(TNFa_Unknowns!$A:$A,K25,TNFa_Unknowns!$I:$I,"&gt;ULOQ")=2,
"&gt;ULOQ",
"review"))))),"")</f>
        <v>review</v>
      </c>
    </row>
    <row r="26" spans="1:17" x14ac:dyDescent="0.2">
      <c r="A26" s="70" t="s">
        <v>65</v>
      </c>
      <c r="B26" s="58">
        <v>1</v>
      </c>
      <c r="C26" s="58">
        <v>59.06</v>
      </c>
      <c r="D26" s="42">
        <f>_xlfn.XLOOKUP(C26,tblTNFa[NetMFI],tblTNFa[NetMFI],"OOR&lt;",-1)</f>
        <v>19.852967194712999</v>
      </c>
      <c r="E26" s="42">
        <f>_xlfn.XLOOKUP(C26,tblTNFa[NetMFI],tblTNFa[Concentration],"OOR&lt;",-1)</f>
        <v>0.49</v>
      </c>
      <c r="F26" s="42">
        <f>_xlfn.XLOOKUP(C26,tblTNFa[NetMFI],tblTNFa[NetMFI],"OOR&gt;",1)</f>
        <v>70.939196579494606</v>
      </c>
      <c r="G26" s="42">
        <f>_xlfn.XLOOKUP(C26,tblTNFa[NetMFI],tblTNFa[Concentration],"OOR&gt;",1)</f>
        <v>2.4915115115115101</v>
      </c>
      <c r="H26" s="45">
        <f t="shared" si="1"/>
        <v>2.0260955082617285</v>
      </c>
      <c r="I26" s="60" t="str">
        <f t="shared" si="0"/>
        <v>OK</v>
      </c>
      <c r="K26" s="58" t="str">
        <v>25-7-25</v>
      </c>
      <c r="L26" s="60">
        <f>IF(AND(K26&lt;&gt;"",K26&lt;&gt;0),COUNTIFS(TNFa_Unknowns!$A:$A,K26,
TNFa_Unknowns!$I:$I,"OK"),"")</f>
        <v>2</v>
      </c>
      <c r="M26" s="62">
        <f>IF(AND(K26&lt;&gt;"",K26&lt;&gt;0),IF(L26=2,
AVERAGEIFS(
TNFa_Unknowns!$H:$H,
TNFa_Unknowns!$A:$A,K26,
TNFa_Unknowns!$I:$I,"OK"),
"N.C."),"")</f>
        <v>3.4299954410240439</v>
      </c>
      <c r="N26" s="61" cm="1">
        <f t="array" ref="N26">IF(AND(K26&lt;&gt;"",K26&lt;&gt;0),IF(L26=2,_xlfn.STDEV.S(_xlfn._xlws.FILTER(TNFa_Unknowns!$H:$H,(TNFa_Unknowns!$A:$A=K26)*(TNFa_Unknowns!$I:$I="OK"))),
"N.C."),"")</f>
        <v>0.32514158704059348</v>
      </c>
      <c r="O26" s="61">
        <f t="shared" si="2"/>
        <v>0.22990982104215971</v>
      </c>
      <c r="P26" s="61">
        <f t="shared" si="3"/>
        <v>9.4793591604168626</v>
      </c>
      <c r="Q26" s="58" t="str">
        <f>IF(AND(K26&lt;&gt;"",K26&lt;&gt;0),IF(COUNTIFS(TNFa_Unknowns!$A:$A,K26,TNFa_Unknowns!$I:$I,"OOR&gt;")&gt;0,
"OOR&gt;",
IF(COUNTIFS(TNFa_Unknowns!$A:$A,K26,TNFa_Unknowns!$I:$I,"OOR&lt;")&gt;0,
"OOR&lt;",
IF(COUNTIFS(TNFa_Unknowns!$A:$A,K26,TNFa_Unknowns!$I:$I,"OK")=2,
"quantifiable",
IF(COUNTIFS(TNFa_Unknowns!$A:$A,K26,TNFa_Unknowns!$I:$I,"&lt;LLOQ")=2,
"&lt;LLOQ",
IF(COUNTIFS(TNFa_Unknowns!$A:$A,K26,TNFa_Unknowns!$I:$I,"&gt;ULOQ")=2,
"&gt;ULOQ",
"review"))))),"")</f>
        <v>quantifiable</v>
      </c>
    </row>
    <row r="27" spans="1:17" x14ac:dyDescent="0.2">
      <c r="A27" s="70" t="s">
        <v>65</v>
      </c>
      <c r="B27" s="58">
        <v>2</v>
      </c>
      <c r="C27" s="58">
        <v>24.84</v>
      </c>
      <c r="D27" s="42">
        <f>_xlfn.XLOOKUP(C27,tblTNFa[NetMFI],tblTNFa[NetMFI],"OOR&lt;",-1)</f>
        <v>19.852967194712999</v>
      </c>
      <c r="E27" s="42">
        <f>_xlfn.XLOOKUP(C27,tblTNFa[NetMFI],tblTNFa[Concentration],"OOR&lt;",-1)</f>
        <v>0.49</v>
      </c>
      <c r="F27" s="42">
        <f>_xlfn.XLOOKUP(C27,tblTNFa[NetMFI],tblTNFa[NetMFI],"OOR&gt;",1)</f>
        <v>70.939196579494606</v>
      </c>
      <c r="G27" s="42">
        <f>_xlfn.XLOOKUP(C27,tblTNFa[NetMFI],tblTNFa[Concentration],"OOR&gt;",1)</f>
        <v>2.4915115115115101</v>
      </c>
      <c r="H27" s="45">
        <f t="shared" si="1"/>
        <v>0.6853873614919983</v>
      </c>
      <c r="I27" s="60" t="str">
        <f t="shared" si="0"/>
        <v>&lt;LLOQ</v>
      </c>
      <c r="K27" s="58" t="str">
        <v>25-7-26</v>
      </c>
      <c r="L27" s="60">
        <f>IF(AND(K27&lt;&gt;"",K27&lt;&gt;0),COUNTIFS(TNFa_Unknowns!$A:$A,K27,
TNFa_Unknowns!$I:$I,"OK"),"")</f>
        <v>2</v>
      </c>
      <c r="M27" s="62">
        <f>IF(AND(K27&lt;&gt;"",K27&lt;&gt;0),IF(L27=2,
AVERAGEIFS(
TNFa_Unknowns!$H:$H,
TNFa_Unknowns!$A:$A,K27,
TNFa_Unknowns!$I:$I,"OK"),
"N.C."),"")</f>
        <v>2.4090894275901062</v>
      </c>
      <c r="N27" s="61" cm="1">
        <f t="array" ref="N27">IF(AND(K27&lt;&gt;"",K27&lt;&gt;0),IF(L27=2,_xlfn.STDEV.S(_xlfn._xlws.FILTER(TNFa_Unknowns!$H:$H,(TNFa_Unknowns!$A:$A=K27)*(TNFa_Unknowns!$I:$I="OK"))),
"N.C."),"")</f>
        <v>0.50617433901882514</v>
      </c>
      <c r="O27" s="61">
        <f t="shared" si="2"/>
        <v>0.35791930758282969</v>
      </c>
      <c r="P27" s="61">
        <f t="shared" si="3"/>
        <v>21.011023219888042</v>
      </c>
      <c r="Q27" s="58" t="str">
        <f>IF(AND(K27&lt;&gt;"",K27&lt;&gt;0),IF(COUNTIFS(TNFa_Unknowns!$A:$A,K27,TNFa_Unknowns!$I:$I,"OOR&gt;")&gt;0,
"OOR&gt;",
IF(COUNTIFS(TNFa_Unknowns!$A:$A,K27,TNFa_Unknowns!$I:$I,"OOR&lt;")&gt;0,
"OOR&lt;",
IF(COUNTIFS(TNFa_Unknowns!$A:$A,K27,TNFa_Unknowns!$I:$I,"OK")=2,
"quantifiable",
IF(COUNTIFS(TNFa_Unknowns!$A:$A,K27,TNFa_Unknowns!$I:$I,"&lt;LLOQ")=2,
"&lt;LLOQ",
IF(COUNTIFS(TNFa_Unknowns!$A:$A,K27,TNFa_Unknowns!$I:$I,"&gt;ULOQ")=2,
"&gt;ULOQ",
"review"))))),"")</f>
        <v>quantifiable</v>
      </c>
    </row>
    <row r="28" spans="1:17" x14ac:dyDescent="0.2">
      <c r="A28" s="70" t="s">
        <v>66</v>
      </c>
      <c r="B28" s="58">
        <v>1</v>
      </c>
      <c r="C28" s="58">
        <v>37.64</v>
      </c>
      <c r="D28" s="42">
        <f>_xlfn.XLOOKUP(C28,tblTNFa[NetMFI],tblTNFa[NetMFI],"OOR&lt;",-1)</f>
        <v>19.852967194712999</v>
      </c>
      <c r="E28" s="42">
        <f>_xlfn.XLOOKUP(C28,tblTNFa[NetMFI],tblTNFa[Concentration],"OOR&lt;",-1)</f>
        <v>0.49</v>
      </c>
      <c r="F28" s="42">
        <f>_xlfn.XLOOKUP(C28,tblTNFa[NetMFI],tblTNFa[NetMFI],"OOR&gt;",1)</f>
        <v>70.939196579494606</v>
      </c>
      <c r="G28" s="42">
        <f>_xlfn.XLOOKUP(C28,tblTNFa[NetMFI],tblTNFa[Concentration],"OOR&gt;",1)</f>
        <v>2.4915115115115101</v>
      </c>
      <c r="H28" s="45">
        <f t="shared" si="1"/>
        <v>1.1868795964029437</v>
      </c>
      <c r="I28" s="60" t="str">
        <f t="shared" si="0"/>
        <v>&lt;LLOQ</v>
      </c>
      <c r="K28" s="58" t="str">
        <v>25-7-27</v>
      </c>
      <c r="L28" s="60">
        <f>IF(AND(K28&lt;&gt;"",K28&lt;&gt;0),COUNTIFS(TNFa_Unknowns!$A:$A,K28,
TNFa_Unknowns!$I:$I,"OK"),"")</f>
        <v>2</v>
      </c>
      <c r="M28" s="62">
        <f>IF(AND(K28&lt;&gt;"",K28&lt;&gt;0),IF(L28=2,
AVERAGEIFS(
TNFa_Unknowns!$H:$H,
TNFa_Unknowns!$A:$A,K28,
TNFa_Unknowns!$I:$I,"OK"),
"N.C."),"")</f>
        <v>3.8564515461191853</v>
      </c>
      <c r="N28" s="61" cm="1">
        <f t="array" ref="N28">IF(AND(K28&lt;&gt;"",K28&lt;&gt;0),IF(L28=2,_xlfn.STDEV.S(_xlfn._xlws.FILTER(TNFa_Unknowns!$H:$H,(TNFa_Unknowns!$A:$A=K28)*(TNFa_Unknowns!$I:$I="OK"))),
"N.C."),"")</f>
        <v>0.6330255178520392</v>
      </c>
      <c r="O28" s="61">
        <f t="shared" si="2"/>
        <v>0.44761663633730281</v>
      </c>
      <c r="P28" s="61">
        <f t="shared" si="3"/>
        <v>16.414714674402273</v>
      </c>
      <c r="Q28" s="58" t="str">
        <f>IF(AND(K28&lt;&gt;"",K28&lt;&gt;0),IF(COUNTIFS(TNFa_Unknowns!$A:$A,K28,TNFa_Unknowns!$I:$I,"OOR&gt;")&gt;0,
"OOR&gt;",
IF(COUNTIFS(TNFa_Unknowns!$A:$A,K28,TNFa_Unknowns!$I:$I,"OOR&lt;")&gt;0,
"OOR&lt;",
IF(COUNTIFS(TNFa_Unknowns!$A:$A,K28,TNFa_Unknowns!$I:$I,"OK")=2,
"quantifiable",
IF(COUNTIFS(TNFa_Unknowns!$A:$A,K28,TNFa_Unknowns!$I:$I,"&lt;LLOQ")=2,
"&lt;LLOQ",
IF(COUNTIFS(TNFa_Unknowns!$A:$A,K28,TNFa_Unknowns!$I:$I,"&gt;ULOQ")=2,
"&gt;ULOQ",
"review"))))),"")</f>
        <v>quantifiable</v>
      </c>
    </row>
    <row r="29" spans="1:17" x14ac:dyDescent="0.2">
      <c r="A29" s="70" t="s">
        <v>66</v>
      </c>
      <c r="B29" s="58">
        <v>2</v>
      </c>
      <c r="C29" s="58">
        <v>68.98</v>
      </c>
      <c r="D29" s="42">
        <f>_xlfn.XLOOKUP(C29,tblTNFa[NetMFI],tblTNFa[NetMFI],"OOR&lt;",-1)</f>
        <v>19.852967194712999</v>
      </c>
      <c r="E29" s="42">
        <f>_xlfn.XLOOKUP(C29,tblTNFa[NetMFI],tblTNFa[Concentration],"OOR&lt;",-1)</f>
        <v>0.49</v>
      </c>
      <c r="F29" s="42">
        <f>_xlfn.XLOOKUP(C29,tblTNFa[NetMFI],tblTNFa[NetMFI],"OOR&gt;",1)</f>
        <v>70.939196579494606</v>
      </c>
      <c r="G29" s="42">
        <f>_xlfn.XLOOKUP(C29,tblTNFa[NetMFI],tblTNFa[Concentration],"OOR&gt;",1)</f>
        <v>2.4915115115115101</v>
      </c>
      <c r="H29" s="45">
        <f t="shared" si="1"/>
        <v>2.4147519903177113</v>
      </c>
      <c r="I29" s="60" t="str">
        <f t="shared" si="0"/>
        <v>OK</v>
      </c>
      <c r="K29" s="58" t="str">
        <v>25-7-28</v>
      </c>
      <c r="L29" s="60">
        <f>IF(AND(K29&lt;&gt;"",K29&lt;&gt;0),COUNTIFS(TNFa_Unknowns!$A:$A,K29,
TNFa_Unknowns!$I:$I,"OK"),"")</f>
        <v>1</v>
      </c>
      <c r="M29" s="61" t="str">
        <f>IF(AND(K29&lt;&gt;"",K29&lt;&gt;0),IF(L29=2,
AVERAGEIFS(
TNFa_Unknowns!$H:$H,
TNFa_Unknowns!$A:$A,K29,
TNFa_Unknowns!$I:$I,"OK"),
"N.C."),"")</f>
        <v>N.C.</v>
      </c>
      <c r="N29" s="61" t="str" cm="1">
        <f t="array" ref="N29">IF(AND(K29&lt;&gt;"",K29&lt;&gt;0),IF(L29=2,_xlfn.STDEV.S(_xlfn._xlws.FILTER(TNFa_Unknowns!$H:$H,(TNFa_Unknowns!$A:$A=K29)*(TNFa_Unknowns!$I:$I="OK"))),
"N.C."),"")</f>
        <v>N.C.</v>
      </c>
      <c r="O29" s="61" t="str">
        <f t="shared" si="2"/>
        <v>N.C.</v>
      </c>
      <c r="P29" s="61" t="str">
        <f t="shared" si="3"/>
        <v>N.C.</v>
      </c>
      <c r="Q29" s="58" t="str">
        <f>IF(AND(K29&lt;&gt;"",K29&lt;&gt;0),IF(COUNTIFS(TNFa_Unknowns!$A:$A,K29,TNFa_Unknowns!$I:$I,"OOR&gt;")&gt;0,
"OOR&gt;",
IF(COUNTIFS(TNFa_Unknowns!$A:$A,K29,TNFa_Unknowns!$I:$I,"OOR&lt;")&gt;0,
"OOR&lt;",
IF(COUNTIFS(TNFa_Unknowns!$A:$A,K29,TNFa_Unknowns!$I:$I,"OK")=2,
"quantifiable",
IF(COUNTIFS(TNFa_Unknowns!$A:$A,K29,TNFa_Unknowns!$I:$I,"&lt;LLOQ")=2,
"&lt;LLOQ",
IF(COUNTIFS(TNFa_Unknowns!$A:$A,K29,TNFa_Unknowns!$I:$I,"&gt;ULOQ")=2,
"&gt;ULOQ",
"review"))))),"")</f>
        <v>review</v>
      </c>
    </row>
    <row r="30" spans="1:17" x14ac:dyDescent="0.2">
      <c r="A30" s="70" t="s">
        <v>67</v>
      </c>
      <c r="B30" s="58">
        <v>1</v>
      </c>
      <c r="C30" s="58">
        <v>302.14999999999998</v>
      </c>
      <c r="D30" s="42">
        <f>_xlfn.XLOOKUP(C30,tblTNFa[NetMFI],tblTNFa[NetMFI],"OOR&lt;",-1)</f>
        <v>242.725013739395</v>
      </c>
      <c r="E30" s="42">
        <f>_xlfn.XLOOKUP(C30,tblTNFa[NetMFI],tblTNFa[Concentration],"OOR&lt;",-1)</f>
        <v>6.49453453453454</v>
      </c>
      <c r="F30" s="42">
        <f>_xlfn.XLOOKUP(C30,tblTNFa[NetMFI],tblTNFa[NetMFI],"OOR&gt;",1)</f>
        <v>351.13785281968399</v>
      </c>
      <c r="G30" s="42">
        <f>_xlfn.XLOOKUP(C30,tblTNFa[NetMFI],tblTNFa[Concentration],"OOR&gt;",1)</f>
        <v>8.4960460460460503</v>
      </c>
      <c r="H30" s="45">
        <f t="shared" si="1"/>
        <v>7.5916351646907998</v>
      </c>
      <c r="I30" s="60" t="str">
        <f t="shared" si="0"/>
        <v>OK</v>
      </c>
      <c r="K30">
        <v>0</v>
      </c>
      <c r="L30" s="56" t="str">
        <f>IF(AND(K30&lt;&gt;"",K30&lt;&gt;0),COUNTIFS(TNFa_Unknowns!$A:$A,K30,
TNFa_Unknowns!$I:$I,"OK"),"")</f>
        <v/>
      </c>
      <c r="M30" s="3" t="str">
        <f>IF(AND(K30&lt;&gt;"",K30&lt;&gt;0),IF(L30=2,
AVERAGEIFS(
TNFa_Unknowns!$H:$H,
TNFa_Unknowns!$A:$A,K30,
TNFa_Unknowns!$I:$I,"OK"),
"N.C."),"")</f>
        <v/>
      </c>
      <c r="N30" s="3" t="str" cm="1">
        <f t="array" ref="N30">IF(AND(K30&lt;&gt;"",K30&lt;&gt;0),IF(L30=2,_xlfn.STDEV.S(_xlfn._xlws.FILTER(TNFa_Unknowns!$H:$H,(TNFa_Unknowns!$A:$A=K30)*(TNFa_Unknowns!$I:$I="OK"))),
"N.C."),"")</f>
        <v/>
      </c>
      <c r="O30" s="3" t="str">
        <f t="shared" si="2"/>
        <v/>
      </c>
      <c r="P30" s="3" t="str">
        <f t="shared" si="3"/>
        <v/>
      </c>
      <c r="Q30" t="str">
        <f>IF(AND(K30&lt;&gt;"",K30&lt;&gt;0),IF(COUNTIFS(TNFa_Unknowns!$A:$A,K30,TNFa_Unknowns!$I:$I,"OOR&gt;")&gt;0,
"OOR&gt;",
IF(COUNTIFS(TNFa_Unknowns!$A:$A,K30,TNFa_Unknowns!$I:$I,"OOR&lt;")&gt;0,
"OOR&lt;",
IF(COUNTIFS(TNFa_Unknowns!$A:$A,K30,TNFa_Unknowns!$I:$I,"OK")=2,
"quantifiable",
IF(COUNTIFS(TNFa_Unknowns!$A:$A,K30,TNFa_Unknowns!$I:$I,"&lt;LLOQ")=2,
"&lt;LLOQ",
IF(COUNTIFS(TNFa_Unknowns!$A:$A,K30,TNFa_Unknowns!$I:$I,"&gt;ULOQ")=2,
"&gt;ULOQ",
"review"))))),"")</f>
        <v/>
      </c>
    </row>
    <row r="31" spans="1:17" x14ac:dyDescent="0.2">
      <c r="A31" s="70" t="s">
        <v>67</v>
      </c>
      <c r="B31" s="58">
        <v>2</v>
      </c>
      <c r="C31" s="58">
        <v>373.45</v>
      </c>
      <c r="D31" s="42">
        <f>_xlfn.XLOOKUP(C31,tblTNFa[NetMFI],tblTNFa[NetMFI],"OOR&lt;",-1)</f>
        <v>351.13785281968399</v>
      </c>
      <c r="E31" s="42">
        <f>_xlfn.XLOOKUP(C31,tblTNFa[NetMFI],tblTNFa[Concentration],"OOR&lt;",-1)</f>
        <v>8.4960460460460503</v>
      </c>
      <c r="F31" s="42">
        <f>_xlfn.XLOOKUP(C31,tblTNFa[NetMFI],tblTNFa[NetMFI],"OOR&gt;",1)</f>
        <v>470.769608845503</v>
      </c>
      <c r="G31" s="42">
        <f>_xlfn.XLOOKUP(C31,tblTNFa[NetMFI],tblTNFa[Concentration],"OOR&gt;",1)</f>
        <v>10.497557557557601</v>
      </c>
      <c r="H31" s="45">
        <f t="shared" si="1"/>
        <v>8.8693417403624011</v>
      </c>
      <c r="I31" s="60" t="str">
        <f t="shared" si="0"/>
        <v>OK</v>
      </c>
      <c r="L31" s="56" t="str">
        <f>IF(AND(K31&lt;&gt;"",K31&lt;&gt;0),COUNTIFS(TNFa_Unknowns!$A:$A,K31,
TNFa_Unknowns!$I:$I,"OK"),"")</f>
        <v/>
      </c>
      <c r="M31" s="3" t="str">
        <f>IF(AND(K31&lt;&gt;"",K31&lt;&gt;0),IF(L31=2,
AVERAGEIFS(
TNFa_Unknowns!$H:$H,
TNFa_Unknowns!$A:$A,K31,
TNFa_Unknowns!$I:$I,"OK"),
"N.C."),"")</f>
        <v/>
      </c>
      <c r="N31" s="3" t="str" cm="1">
        <f t="array" ref="N31">IF(AND(K31&lt;&gt;"",K31&lt;&gt;0),IF(L31=2,_xlfn.STDEV.S(_xlfn._xlws.FILTER(TNFa_Unknowns!$H:$H,(TNFa_Unknowns!$A:$A=K31)*(TNFa_Unknowns!$I:$I="OK"))),
"N.C."),"")</f>
        <v/>
      </c>
      <c r="O31" s="3" t="str">
        <f t="shared" si="2"/>
        <v/>
      </c>
      <c r="P31" s="3" t="str">
        <f t="shared" si="3"/>
        <v/>
      </c>
      <c r="Q31" t="str">
        <f>IF(AND(K31&lt;&gt;"",K31&lt;&gt;0),IF(COUNTIFS(TNFa_Unknowns!$A:$A,K31,TNFa_Unknowns!$I:$I,"OOR&gt;")&gt;0,
"OOR&gt;",
IF(COUNTIFS(TNFa_Unknowns!$A:$A,K31,TNFa_Unknowns!$I:$I,"OOR&lt;")&gt;0,
"OOR&lt;",
IF(COUNTIFS(TNFa_Unknowns!$A:$A,K31,TNFa_Unknowns!$I:$I,"OK")=2,
"quantifiable",
IF(COUNTIFS(TNFa_Unknowns!$A:$A,K31,TNFa_Unknowns!$I:$I,"&lt;LLOQ")=2,
"&lt;LLOQ",
IF(COUNTIFS(TNFa_Unknowns!$A:$A,K31,TNFa_Unknowns!$I:$I,"&gt;ULOQ")=2,
"&gt;ULOQ",
"review"))))),"")</f>
        <v/>
      </c>
    </row>
    <row r="32" spans="1:17" x14ac:dyDescent="0.2">
      <c r="A32" s="70" t="s">
        <v>68</v>
      </c>
      <c r="B32" s="58">
        <v>1</v>
      </c>
      <c r="C32" s="58">
        <v>566.92999999999995</v>
      </c>
      <c r="D32" s="42">
        <f>_xlfn.XLOOKUP(C32,tblTNFa[NetMFI],tblTNFa[NetMFI],"OOR&lt;",-1)</f>
        <v>470.769608845503</v>
      </c>
      <c r="E32" s="42">
        <f>_xlfn.XLOOKUP(C32,tblTNFa[NetMFI],tblTNFa[Concentration],"OOR&lt;",-1)</f>
        <v>10.497557557557601</v>
      </c>
      <c r="F32" s="42">
        <f>_xlfn.XLOOKUP(C32,tblTNFa[NetMFI],tblTNFa[NetMFI],"OOR&gt;",1)</f>
        <v>599.79603307028106</v>
      </c>
      <c r="G32" s="42">
        <f>_xlfn.XLOOKUP(C32,tblTNFa[NetMFI],tblTNFa[Concentration],"OOR&gt;",1)</f>
        <v>12.499069069069099</v>
      </c>
      <c r="H32" s="45">
        <f t="shared" si="1"/>
        <v>11.989237506091841</v>
      </c>
      <c r="I32" s="60" t="str">
        <f t="shared" si="0"/>
        <v>OK</v>
      </c>
      <c r="L32" s="56" t="str">
        <f>IF(AND(K32&lt;&gt;"",K32&lt;&gt;0),COUNTIFS(TNFa_Unknowns!$A:$A,K32,
TNFa_Unknowns!$I:$I,"OK"),"")</f>
        <v/>
      </c>
      <c r="M32" s="3" t="str">
        <f>IF(AND(K32&lt;&gt;"",K32&lt;&gt;0),IF(L32=2,
AVERAGEIFS(
TNFa_Unknowns!$H:$H,
TNFa_Unknowns!$A:$A,K32,
TNFa_Unknowns!$I:$I,"OK"),
"N.C."),"")</f>
        <v/>
      </c>
      <c r="N32" s="3" t="str" cm="1">
        <f t="array" ref="N32">IF(AND(K32&lt;&gt;"",K32&lt;&gt;0),IF(L32=2,_xlfn.STDEV.S(_xlfn._xlws.FILTER(TNFa_Unknowns!$H:$H,(TNFa_Unknowns!$A:$A=K32)*(TNFa_Unknowns!$I:$I="OK"))),
"N.C."),"")</f>
        <v/>
      </c>
      <c r="O32" s="3" t="str">
        <f t="shared" si="2"/>
        <v/>
      </c>
      <c r="P32" s="3" t="str">
        <f t="shared" si="3"/>
        <v/>
      </c>
      <c r="Q32" t="str">
        <f>IF(AND(K32&lt;&gt;"",K32&lt;&gt;0),IF(COUNTIFS(TNFa_Unknowns!$A:$A,K32,TNFa_Unknowns!$I:$I,"OOR&gt;")&gt;0,
"OOR&gt;",
IF(COUNTIFS(TNFa_Unknowns!$A:$A,K32,TNFa_Unknowns!$I:$I,"OOR&lt;")&gt;0,
"OOR&lt;",
IF(COUNTIFS(TNFa_Unknowns!$A:$A,K32,TNFa_Unknowns!$I:$I,"OK")=2,
"quantifiable",
IF(COUNTIFS(TNFa_Unknowns!$A:$A,K32,TNFa_Unknowns!$I:$I,"&lt;LLOQ")=2,
"&lt;LLOQ",
IF(COUNTIFS(TNFa_Unknowns!$A:$A,K32,TNFa_Unknowns!$I:$I,"&gt;ULOQ")=2,
"&gt;ULOQ",
"review"))))),"")</f>
        <v/>
      </c>
    </row>
    <row r="33" spans="1:17" x14ac:dyDescent="0.2">
      <c r="A33" s="70" t="s">
        <v>68</v>
      </c>
      <c r="B33" s="58">
        <v>2</v>
      </c>
      <c r="C33" s="58">
        <v>492.49</v>
      </c>
      <c r="D33" s="42">
        <f>_xlfn.XLOOKUP(C33,tblTNFa[NetMFI],tblTNFa[NetMFI],"OOR&lt;",-1)</f>
        <v>470.769608845503</v>
      </c>
      <c r="E33" s="42">
        <f>_xlfn.XLOOKUP(C33,tblTNFa[NetMFI],tblTNFa[Concentration],"OOR&lt;",-1)</f>
        <v>10.497557557557601</v>
      </c>
      <c r="F33" s="42">
        <f>_xlfn.XLOOKUP(C33,tblTNFa[NetMFI],tblTNFa[NetMFI],"OOR&gt;",1)</f>
        <v>599.79603307028106</v>
      </c>
      <c r="G33" s="42">
        <f>_xlfn.XLOOKUP(C33,tblTNFa[NetMFI],tblTNFa[Concentration],"OOR&gt;",1)</f>
        <v>12.499069069069099</v>
      </c>
      <c r="H33" s="45">
        <f t="shared" si="1"/>
        <v>10.83449329139242</v>
      </c>
      <c r="I33" s="60" t="str">
        <f t="shared" si="0"/>
        <v>OK</v>
      </c>
      <c r="L33" s="56" t="str">
        <f>IF(AND(K33&lt;&gt;"",K33&lt;&gt;0),COUNTIFS(TNFa_Unknowns!$A:$A,K33,
TNFa_Unknowns!$I:$I,"OK"),"")</f>
        <v/>
      </c>
      <c r="M33" s="3" t="str">
        <f>IF(AND(K33&lt;&gt;"",K33&lt;&gt;0),IF(L33=2,
AVERAGEIFS(
TNFa_Unknowns!$H:$H,
TNFa_Unknowns!$A:$A,K33,
TNFa_Unknowns!$I:$I,"OK"),
"N.C."),"")</f>
        <v/>
      </c>
      <c r="N33" s="3" t="str" cm="1">
        <f t="array" ref="N33">IF(AND(K33&lt;&gt;"",K33&lt;&gt;0),IF(L33=2,_xlfn.STDEV.S(_xlfn._xlws.FILTER(TNFa_Unknowns!$H:$H,(TNFa_Unknowns!$A:$A=K33)*(TNFa_Unknowns!$I:$I="OK"))),
"N.C."),"")</f>
        <v/>
      </c>
      <c r="O33" s="3" t="str">
        <f t="shared" si="2"/>
        <v/>
      </c>
      <c r="P33" s="3" t="str">
        <f t="shared" si="3"/>
        <v/>
      </c>
      <c r="Q33" t="str">
        <f>IF(AND(K33&lt;&gt;"",K33&lt;&gt;0),IF(COUNTIFS(TNFa_Unknowns!$A:$A,K33,TNFa_Unknowns!$I:$I,"OOR&gt;")&gt;0,
"OOR&gt;",
IF(COUNTIFS(TNFa_Unknowns!$A:$A,K33,TNFa_Unknowns!$I:$I,"OOR&lt;")&gt;0,
"OOR&lt;",
IF(COUNTIFS(TNFa_Unknowns!$A:$A,K33,TNFa_Unknowns!$I:$I,"OK")=2,
"quantifiable",
IF(COUNTIFS(TNFa_Unknowns!$A:$A,K33,TNFa_Unknowns!$I:$I,"&lt;LLOQ")=2,
"&lt;LLOQ",
IF(COUNTIFS(TNFa_Unknowns!$A:$A,K33,TNFa_Unknowns!$I:$I,"&gt;ULOQ")=2,
"&gt;ULOQ",
"review"))))),"")</f>
        <v/>
      </c>
    </row>
    <row r="34" spans="1:17" x14ac:dyDescent="0.2">
      <c r="A34" s="70" t="s">
        <v>69</v>
      </c>
      <c r="B34" s="58">
        <v>1</v>
      </c>
      <c r="C34" s="58">
        <v>278.87</v>
      </c>
      <c r="D34" s="42">
        <f>_xlfn.XLOOKUP(C34,tblTNFa[NetMFI],tblTNFa[NetMFI],"OOR&lt;",-1)</f>
        <v>242.725013739395</v>
      </c>
      <c r="E34" s="42">
        <f>_xlfn.XLOOKUP(C34,tblTNFa[NetMFI],tblTNFa[Concentration],"OOR&lt;",-1)</f>
        <v>6.49453453453454</v>
      </c>
      <c r="F34" s="42">
        <f>_xlfn.XLOOKUP(C34,tblTNFa[NetMFI],tblTNFa[NetMFI],"OOR&gt;",1)</f>
        <v>351.13785281968399</v>
      </c>
      <c r="G34" s="42">
        <f>_xlfn.XLOOKUP(C34,tblTNFa[NetMFI],tblTNFa[Concentration],"OOR&gt;",1)</f>
        <v>8.4960460460460503</v>
      </c>
      <c r="H34" s="45">
        <f t="shared" si="1"/>
        <v>7.1618411625848299</v>
      </c>
      <c r="I34" s="60" t="str">
        <f t="shared" ref="I34:I57" si="4">IF(NOT(ISNUMBER(H34)),H34,IF(H34&lt;LLOQ,"&lt;LLOQ",IF(H34&gt;ULOQ,"&gt;ULOQ","OK")))</f>
        <v>OK</v>
      </c>
      <c r="L34" s="56" t="str">
        <f>IF(AND(K34&lt;&gt;"",K34&lt;&gt;0),COUNTIFS(TNFa_Unknowns!$A:$A,K34,
TNFa_Unknowns!$I:$I,"OK"),"")</f>
        <v/>
      </c>
      <c r="M34" s="3" t="str">
        <f>IF(AND(K34&lt;&gt;"",K34&lt;&gt;0),IF(L34=2,
AVERAGEIFS(
TNFa_Unknowns!$H:$H,
TNFa_Unknowns!$A:$A,K34,
TNFa_Unknowns!$I:$I,"OK"),
"N.C."),"")</f>
        <v/>
      </c>
      <c r="N34" s="3" t="str" cm="1">
        <f t="array" ref="N34">IF(AND(K34&lt;&gt;"",K34&lt;&gt;0),IF(L34=2,_xlfn.STDEV.S(_xlfn._xlws.FILTER(TNFa_Unknowns!$H:$H,(TNFa_Unknowns!$A:$A=K34)*(TNFa_Unknowns!$I:$I="OK"))),
"N.C."),"")</f>
        <v/>
      </c>
      <c r="O34" s="3" t="str">
        <f t="shared" si="2"/>
        <v/>
      </c>
      <c r="P34" s="3" t="str">
        <f t="shared" si="3"/>
        <v/>
      </c>
      <c r="Q34" t="str">
        <f>IF(AND(K34&lt;&gt;"",K34&lt;&gt;0),IF(COUNTIFS(TNFa_Unknowns!$A:$A,K34,TNFa_Unknowns!$I:$I,"OOR&gt;")&gt;0,
"OOR&gt;",
IF(COUNTIFS(TNFa_Unknowns!$A:$A,K34,TNFa_Unknowns!$I:$I,"OOR&lt;")&gt;0,
"OOR&lt;",
IF(COUNTIFS(TNFa_Unknowns!$A:$A,K34,TNFa_Unknowns!$I:$I,"OK")=2,
"quantifiable",
IF(COUNTIFS(TNFa_Unknowns!$A:$A,K34,TNFa_Unknowns!$I:$I,"&lt;LLOQ")=2,
"&lt;LLOQ",
IF(COUNTIFS(TNFa_Unknowns!$A:$A,K34,TNFa_Unknowns!$I:$I,"&gt;ULOQ")=2,
"&gt;ULOQ",
"review"))))),"")</f>
        <v/>
      </c>
    </row>
    <row r="35" spans="1:17" x14ac:dyDescent="0.2">
      <c r="A35" s="70" t="s">
        <v>69</v>
      </c>
      <c r="B35" s="58">
        <v>2</v>
      </c>
      <c r="C35" s="58">
        <v>299.95</v>
      </c>
      <c r="D35" s="42">
        <f>_xlfn.XLOOKUP(C35,tblTNFa[NetMFI],tblTNFa[NetMFI],"OOR&lt;",-1)</f>
        <v>242.725013739395</v>
      </c>
      <c r="E35" s="42">
        <f>_xlfn.XLOOKUP(C35,tblTNFa[NetMFI],tblTNFa[Concentration],"OOR&lt;",-1)</f>
        <v>6.49453453453454</v>
      </c>
      <c r="F35" s="42">
        <f>_xlfn.XLOOKUP(C35,tblTNFa[NetMFI],tblTNFa[NetMFI],"OOR&gt;",1)</f>
        <v>351.13785281968399</v>
      </c>
      <c r="G35" s="42">
        <f>_xlfn.XLOOKUP(C35,tblTNFa[NetMFI],tblTNFa[Concentration],"OOR&gt;",1)</f>
        <v>8.4960460460460503</v>
      </c>
      <c r="H35" s="45">
        <f t="shared" si="1"/>
        <v>7.5510188930141187</v>
      </c>
      <c r="I35" s="60" t="str">
        <f t="shared" si="4"/>
        <v>OK</v>
      </c>
      <c r="L35" s="56" t="str">
        <f>IF(AND(K35&lt;&gt;"",K35&lt;&gt;0),COUNTIFS(TNFa_Unknowns!$A:$A,K35,
TNFa_Unknowns!$I:$I,"OK"),"")</f>
        <v/>
      </c>
      <c r="M35" s="3" t="str">
        <f>IF(AND(K35&lt;&gt;"",K35&lt;&gt;0),IF(L35=2,
AVERAGEIFS(
TNFa_Unknowns!$H:$H,
TNFa_Unknowns!$A:$A,K35,
TNFa_Unknowns!$I:$I,"OK"),
"N.C."),"")</f>
        <v/>
      </c>
      <c r="N35" s="3" t="str" cm="1">
        <f t="array" ref="N35">IF(AND(K35&lt;&gt;"",K35&lt;&gt;0),IF(L35=2,_xlfn.STDEV.S(_xlfn._xlws.FILTER(TNFa_Unknowns!$H:$H,(TNFa_Unknowns!$A:$A=K35)*(TNFa_Unknowns!$I:$I="OK"))),
"N.C."),"")</f>
        <v/>
      </c>
      <c r="O35" s="3" t="str">
        <f t="shared" si="2"/>
        <v/>
      </c>
      <c r="P35" s="3" t="str">
        <f t="shared" si="3"/>
        <v/>
      </c>
      <c r="Q35" t="str">
        <f>IF(AND(K35&lt;&gt;"",K35&lt;&gt;0),IF(COUNTIFS(TNFa_Unknowns!$A:$A,K35,TNFa_Unknowns!$I:$I,"OOR&gt;")&gt;0,
"OOR&gt;",
IF(COUNTIFS(TNFa_Unknowns!$A:$A,K35,TNFa_Unknowns!$I:$I,"OOR&lt;")&gt;0,
"OOR&lt;",
IF(COUNTIFS(TNFa_Unknowns!$A:$A,K35,TNFa_Unknowns!$I:$I,"OK")=2,
"quantifiable",
IF(COUNTIFS(TNFa_Unknowns!$A:$A,K35,TNFa_Unknowns!$I:$I,"&lt;LLOQ")=2,
"&lt;LLOQ",
IF(COUNTIFS(TNFa_Unknowns!$A:$A,K35,TNFa_Unknowns!$I:$I,"&gt;ULOQ")=2,
"&gt;ULOQ",
"review"))))),"")</f>
        <v/>
      </c>
    </row>
    <row r="36" spans="1:17" x14ac:dyDescent="0.2">
      <c r="A36" s="70" t="s">
        <v>70</v>
      </c>
      <c r="B36" s="58">
        <v>1</v>
      </c>
      <c r="C36" s="58">
        <v>723.68</v>
      </c>
      <c r="D36" s="42">
        <f>_xlfn.XLOOKUP(C36,tblTNFa[NetMFI],tblTNFa[NetMFI],"OOR&lt;",-1)</f>
        <v>599.79603307028106</v>
      </c>
      <c r="E36" s="42">
        <f>_xlfn.XLOOKUP(C36,tblTNFa[NetMFI],tblTNFa[Concentration],"OOR&lt;",-1)</f>
        <v>12.499069069069099</v>
      </c>
      <c r="F36" s="42">
        <f>_xlfn.XLOOKUP(C36,tblTNFa[NetMFI],tblTNFa[NetMFI],"OOR&gt;",1)</f>
        <v>736.78473383047196</v>
      </c>
      <c r="G36" s="42">
        <f>_xlfn.XLOOKUP(C36,tblTNFa[NetMFI],tblTNFa[Concentration],"OOR&gt;",1)</f>
        <v>14.5005805805806</v>
      </c>
      <c r="H36" s="45">
        <f t="shared" si="1"/>
        <v>14.309110222285135</v>
      </c>
      <c r="I36" s="60" t="str">
        <f t="shared" si="4"/>
        <v>OK</v>
      </c>
      <c r="L36" s="56" t="str">
        <f>IF(AND(K36&lt;&gt;"",K36&lt;&gt;0),COUNTIFS(TNFa_Unknowns!$A:$A,K36,
TNFa_Unknowns!$I:$I,"OK"),"")</f>
        <v/>
      </c>
      <c r="M36" s="3" t="str">
        <f>IF(AND(K36&lt;&gt;"",K36&lt;&gt;0),IF(L36=2,
AVERAGEIFS(
TNFa_Unknowns!$H:$H,
TNFa_Unknowns!$A:$A,K36,
TNFa_Unknowns!$I:$I,"OK"),
"N.C."),"")</f>
        <v/>
      </c>
      <c r="N36" s="3" t="str" cm="1">
        <f t="array" ref="N36">IF(AND(K36&lt;&gt;"",K36&lt;&gt;0),IF(L36=2,_xlfn.STDEV.S(_xlfn._xlws.FILTER(TNFa_Unknowns!$H:$H,(TNFa_Unknowns!$A:$A=K36)*(TNFa_Unknowns!$I:$I="OK"))),
"N.C."),"")</f>
        <v/>
      </c>
      <c r="O36" s="3" t="str">
        <f t="shared" si="2"/>
        <v/>
      </c>
      <c r="P36" s="3" t="str">
        <f t="shared" si="3"/>
        <v/>
      </c>
      <c r="Q36" t="str">
        <f>IF(AND(K36&lt;&gt;"",K36&lt;&gt;0),IF(COUNTIFS(TNFa_Unknowns!$A:$A,K36,TNFa_Unknowns!$I:$I,"OOR&gt;")&gt;0,
"OOR&gt;",
IF(COUNTIFS(TNFa_Unknowns!$A:$A,K36,TNFa_Unknowns!$I:$I,"OOR&lt;")&gt;0,
"OOR&lt;",
IF(COUNTIFS(TNFa_Unknowns!$A:$A,K36,TNFa_Unknowns!$I:$I,"OK")=2,
"quantifiable",
IF(COUNTIFS(TNFa_Unknowns!$A:$A,K36,TNFa_Unknowns!$I:$I,"&lt;LLOQ")=2,
"&lt;LLOQ",
IF(COUNTIFS(TNFa_Unknowns!$A:$A,K36,TNFa_Unknowns!$I:$I,"&gt;ULOQ")=2,
"&gt;ULOQ",
"review"))))),"")</f>
        <v/>
      </c>
    </row>
    <row r="37" spans="1:17" x14ac:dyDescent="0.2">
      <c r="A37" s="70" t="s">
        <v>70</v>
      </c>
      <c r="B37" s="58">
        <v>2</v>
      </c>
      <c r="C37" s="58">
        <v>740.81</v>
      </c>
      <c r="D37" s="42">
        <f>_xlfn.XLOOKUP(C37,tblTNFa[NetMFI],tblTNFa[NetMFI],"OOR&lt;",-1)</f>
        <v>736.78473383047196</v>
      </c>
      <c r="E37" s="42">
        <f>_xlfn.XLOOKUP(C37,tblTNFa[NetMFI],tblTNFa[Concentration],"OOR&lt;",-1)</f>
        <v>14.5005805805806</v>
      </c>
      <c r="F37" s="42">
        <f>_xlfn.XLOOKUP(C37,tblTNFa[NetMFI],tblTNFa[NetMFI],"OOR&gt;",1)</f>
        <v>880.55978840540604</v>
      </c>
      <c r="G37" s="42">
        <f>_xlfn.XLOOKUP(C37,tblTNFa[NetMFI],tblTNFa[Concentration],"OOR&gt;",1)</f>
        <v>16.502092092092099</v>
      </c>
      <c r="H37" s="45">
        <f t="shared" si="1"/>
        <v>14.556616842218803</v>
      </c>
      <c r="I37" s="60" t="str">
        <f t="shared" si="4"/>
        <v>OK</v>
      </c>
      <c r="L37" s="56" t="str">
        <f>IF(AND(K37&lt;&gt;"",K37&lt;&gt;0),COUNTIFS(TNFa_Unknowns!$A:$A,K37,
TNFa_Unknowns!$I:$I,"OK"),"")</f>
        <v/>
      </c>
      <c r="M37" s="3" t="str">
        <f>IF(AND(K37&lt;&gt;"",K37&lt;&gt;0),IF(L37=2,
AVERAGEIFS(
TNFa_Unknowns!$H:$H,
TNFa_Unknowns!$A:$A,K37,
TNFa_Unknowns!$I:$I,"OK"),
"N.C."),"")</f>
        <v/>
      </c>
      <c r="N37" s="3" t="str" cm="1">
        <f t="array" ref="N37">IF(AND(K37&lt;&gt;"",K37&lt;&gt;0),IF(L37=2,_xlfn.STDEV.S(_xlfn._xlws.FILTER(TNFa_Unknowns!$H:$H,(TNFa_Unknowns!$A:$A=K37)*(TNFa_Unknowns!$I:$I="OK"))),
"N.C."),"")</f>
        <v/>
      </c>
      <c r="O37" s="3" t="str">
        <f t="shared" si="2"/>
        <v/>
      </c>
      <c r="P37" s="3" t="str">
        <f t="shared" si="3"/>
        <v/>
      </c>
      <c r="Q37" t="str">
        <f>IF(AND(K37&lt;&gt;"",K37&lt;&gt;0),IF(COUNTIFS(TNFa_Unknowns!$A:$A,K37,TNFa_Unknowns!$I:$I,"OOR&gt;")&gt;0,
"OOR&gt;",
IF(COUNTIFS(TNFa_Unknowns!$A:$A,K37,TNFa_Unknowns!$I:$I,"OOR&lt;")&gt;0,
"OOR&lt;",
IF(COUNTIFS(TNFa_Unknowns!$A:$A,K37,TNFa_Unknowns!$I:$I,"OK")=2,
"quantifiable",
IF(COUNTIFS(TNFa_Unknowns!$A:$A,K37,TNFa_Unknowns!$I:$I,"&lt;LLOQ")=2,
"&lt;LLOQ",
IF(COUNTIFS(TNFa_Unknowns!$A:$A,K37,TNFa_Unknowns!$I:$I,"&gt;ULOQ")=2,
"&gt;ULOQ",
"review"))))),"")</f>
        <v/>
      </c>
    </row>
    <row r="38" spans="1:17" x14ac:dyDescent="0.2">
      <c r="A38" s="70" t="s">
        <v>71</v>
      </c>
      <c r="B38" s="58">
        <v>1</v>
      </c>
      <c r="C38" s="58">
        <v>451.61</v>
      </c>
      <c r="D38" s="42">
        <f>_xlfn.XLOOKUP(C38,tblTNFa[NetMFI],tblTNFa[NetMFI],"OOR&lt;",-1)</f>
        <v>351.13785281968399</v>
      </c>
      <c r="E38" s="42">
        <f>_xlfn.XLOOKUP(C38,tblTNFa[NetMFI],tblTNFa[Concentration],"OOR&lt;",-1)</f>
        <v>8.4960460460460503</v>
      </c>
      <c r="F38" s="42">
        <f>_xlfn.XLOOKUP(C38,tblTNFa[NetMFI],tblTNFa[NetMFI],"OOR&gt;",1)</f>
        <v>470.769608845503</v>
      </c>
      <c r="G38" s="42">
        <f>_xlfn.XLOOKUP(C38,tblTNFa[NetMFI],tblTNFa[Concentration],"OOR&gt;",1)</f>
        <v>10.497557557557601</v>
      </c>
      <c r="H38" s="45">
        <f t="shared" si="1"/>
        <v>10.177005733073335</v>
      </c>
      <c r="I38" s="60" t="str">
        <f t="shared" si="4"/>
        <v>OK</v>
      </c>
      <c r="L38" s="56" t="str">
        <f>IF(AND(K38&lt;&gt;"",K38&lt;&gt;0),COUNTIFS(TNFa_Unknowns!$A:$A,K38,
TNFa_Unknowns!$I:$I,"OK"),"")</f>
        <v/>
      </c>
      <c r="M38" s="3" t="str">
        <f>IF(AND(K38&lt;&gt;"",K38&lt;&gt;0),IF(L38=2,
AVERAGEIFS(
TNFa_Unknowns!$H:$H,
TNFa_Unknowns!$A:$A,K38,
TNFa_Unknowns!$I:$I,"OK"),
"N.C."),"")</f>
        <v/>
      </c>
      <c r="N38" s="3" t="str" cm="1">
        <f t="array" ref="N38">IF(AND(K38&lt;&gt;"",K38&lt;&gt;0),IF(L38=2,_xlfn.STDEV.S(_xlfn._xlws.FILTER(TNFa_Unknowns!$H:$H,(TNFa_Unknowns!$A:$A=K38)*(TNFa_Unknowns!$I:$I="OK"))),
"N.C."),"")</f>
        <v/>
      </c>
      <c r="O38" s="3" t="str">
        <f t="shared" si="2"/>
        <v/>
      </c>
      <c r="P38" s="3" t="str">
        <f t="shared" si="3"/>
        <v/>
      </c>
      <c r="Q38" t="str">
        <f>IF(AND(K38&lt;&gt;"",K38&lt;&gt;0),IF(COUNTIFS(TNFa_Unknowns!$A:$A,K38,TNFa_Unknowns!$I:$I,"OOR&gt;")&gt;0,
"OOR&gt;",
IF(COUNTIFS(TNFa_Unknowns!$A:$A,K38,TNFa_Unknowns!$I:$I,"OOR&lt;")&gt;0,
"OOR&lt;",
IF(COUNTIFS(TNFa_Unknowns!$A:$A,K38,TNFa_Unknowns!$I:$I,"OK")=2,
"quantifiable",
IF(COUNTIFS(TNFa_Unknowns!$A:$A,K38,TNFa_Unknowns!$I:$I,"&lt;LLOQ")=2,
"&lt;LLOQ",
IF(COUNTIFS(TNFa_Unknowns!$A:$A,K38,TNFa_Unknowns!$I:$I,"&gt;ULOQ")=2,
"&gt;ULOQ",
"review"))))),"")</f>
        <v/>
      </c>
    </row>
    <row r="39" spans="1:17" x14ac:dyDescent="0.2">
      <c r="A39" s="70" t="s">
        <v>71</v>
      </c>
      <c r="B39" s="58">
        <v>2</v>
      </c>
      <c r="C39" s="58">
        <v>310.36</v>
      </c>
      <c r="D39" s="42">
        <f>_xlfn.XLOOKUP(C39,tblTNFa[NetMFI],tblTNFa[NetMFI],"OOR&lt;",-1)</f>
        <v>242.725013739395</v>
      </c>
      <c r="E39" s="42">
        <f>_xlfn.XLOOKUP(C39,tblTNFa[NetMFI],tblTNFa[Concentration],"OOR&lt;",-1)</f>
        <v>6.49453453453454</v>
      </c>
      <c r="F39" s="42">
        <f>_xlfn.XLOOKUP(C39,tblTNFa[NetMFI],tblTNFa[NetMFI],"OOR&gt;",1)</f>
        <v>351.13785281968399</v>
      </c>
      <c r="G39" s="42">
        <f>_xlfn.XLOOKUP(C39,tblTNFa[NetMFI],tblTNFa[Concentration],"OOR&gt;",1)</f>
        <v>8.4960460460460503</v>
      </c>
      <c r="H39" s="45">
        <f t="shared" si="1"/>
        <v>7.7432077058115052</v>
      </c>
      <c r="I39" s="60" t="str">
        <f t="shared" si="4"/>
        <v>OK</v>
      </c>
      <c r="L39" s="56" t="str">
        <f>IF(AND(K39&lt;&gt;"",K39&lt;&gt;0),COUNTIFS(TNFa_Unknowns!$A:$A,K39,
TNFa_Unknowns!$I:$I,"OK"),"")</f>
        <v/>
      </c>
      <c r="M39" s="3" t="str">
        <f>IF(AND(K39&lt;&gt;"",K39&lt;&gt;0),IF(L39=2,
AVERAGEIFS(
TNFa_Unknowns!$H:$H,
TNFa_Unknowns!$A:$A,K39,
TNFa_Unknowns!$I:$I,"OK"),
"N.C."),"")</f>
        <v/>
      </c>
      <c r="N39" s="3" t="str" cm="1">
        <f t="array" ref="N39">IF(AND(K39&lt;&gt;"",K39&lt;&gt;0),IF(L39=2,_xlfn.STDEV.S(_xlfn._xlws.FILTER(TNFa_Unknowns!$H:$H,(TNFa_Unknowns!$A:$A=K39)*(TNFa_Unknowns!$I:$I="OK"))),
"N.C."),"")</f>
        <v/>
      </c>
      <c r="O39" s="3" t="str">
        <f t="shared" si="2"/>
        <v/>
      </c>
      <c r="P39" s="3" t="str">
        <f t="shared" si="3"/>
        <v/>
      </c>
      <c r="Q39" t="str">
        <f>IF(AND(K39&lt;&gt;"",K39&lt;&gt;0),IF(COUNTIFS(TNFa_Unknowns!$A:$A,K39,TNFa_Unknowns!$I:$I,"OOR&gt;")&gt;0,
"OOR&gt;",
IF(COUNTIFS(TNFa_Unknowns!$A:$A,K39,TNFa_Unknowns!$I:$I,"OOR&lt;")&gt;0,
"OOR&lt;",
IF(COUNTIFS(TNFa_Unknowns!$A:$A,K39,TNFa_Unknowns!$I:$I,"OK")=2,
"quantifiable",
IF(COUNTIFS(TNFa_Unknowns!$A:$A,K39,TNFa_Unknowns!$I:$I,"&lt;LLOQ")=2,
"&lt;LLOQ",
IF(COUNTIFS(TNFa_Unknowns!$A:$A,K39,TNFa_Unknowns!$I:$I,"&gt;ULOQ")=2,
"&gt;ULOQ",
"review"))))),"")</f>
        <v/>
      </c>
    </row>
    <row r="40" spans="1:17" x14ac:dyDescent="0.2">
      <c r="A40" s="70" t="s">
        <v>72</v>
      </c>
      <c r="B40" s="58">
        <v>1</v>
      </c>
      <c r="C40" s="58">
        <v>82.29</v>
      </c>
      <c r="D40" s="42">
        <f>_xlfn.XLOOKUP(C40,tblTNFa[NetMFI],tblTNFa[NetMFI],"OOR&lt;",-1)</f>
        <v>70.939196579494606</v>
      </c>
      <c r="E40" s="42">
        <f>_xlfn.XLOOKUP(C40,tblTNFa[NetMFI],tblTNFa[Concentration],"OOR&lt;",-1)</f>
        <v>2.4915115115115101</v>
      </c>
      <c r="F40" s="42">
        <f>_xlfn.XLOOKUP(C40,tblTNFa[NetMFI],tblTNFa[NetMFI],"OOR&gt;",1)</f>
        <v>148.02761478666801</v>
      </c>
      <c r="G40" s="42">
        <f>_xlfn.XLOOKUP(C40,tblTNFa[NetMFI],tblTNFa[Concentration],"OOR&gt;",1)</f>
        <v>4.4930230230230199</v>
      </c>
      <c r="H40" s="45">
        <f t="shared" si="1"/>
        <v>2.7862219782639812</v>
      </c>
      <c r="I40" s="60" t="str">
        <f t="shared" si="4"/>
        <v>OK</v>
      </c>
      <c r="L40" s="56" t="str">
        <f>IF(AND(K40&lt;&gt;"",K40&lt;&gt;0),COUNTIFS(TNFa_Unknowns!$A:$A,K40,
TNFa_Unknowns!$I:$I,"OK"),"")</f>
        <v/>
      </c>
      <c r="M40" s="3" t="str">
        <f>IF(AND(K40&lt;&gt;"",K40&lt;&gt;0),IF(L40=2,
AVERAGEIFS(
TNFa_Unknowns!$H:$H,
TNFa_Unknowns!$A:$A,K40,
TNFa_Unknowns!$I:$I,"OK"),
"N.C."),"")</f>
        <v/>
      </c>
      <c r="N40" s="3" t="str" cm="1">
        <f t="array" ref="N40">IF(AND(K40&lt;&gt;"",K40&lt;&gt;0),IF(L40=2,_xlfn.STDEV.S(_xlfn._xlws.FILTER(TNFa_Unknowns!$H:$H,(TNFa_Unknowns!$A:$A=K40)*(TNFa_Unknowns!$I:$I="OK"))),
"N.C."),"")</f>
        <v/>
      </c>
      <c r="O40" s="3" t="str">
        <f t="shared" si="2"/>
        <v/>
      </c>
      <c r="P40" s="3" t="str">
        <f t="shared" si="3"/>
        <v/>
      </c>
      <c r="Q40" t="str">
        <f>IF(AND(K40&lt;&gt;"",K40&lt;&gt;0),IF(COUNTIFS(TNFa_Unknowns!$A:$A,K40,TNFa_Unknowns!$I:$I,"OOR&gt;")&gt;0,
"OOR&gt;",
IF(COUNTIFS(TNFa_Unknowns!$A:$A,K40,TNFa_Unknowns!$I:$I,"OOR&lt;")&gt;0,
"OOR&lt;",
IF(COUNTIFS(TNFa_Unknowns!$A:$A,K40,TNFa_Unknowns!$I:$I,"OK")=2,
"quantifiable",
IF(COUNTIFS(TNFa_Unknowns!$A:$A,K40,TNFa_Unknowns!$I:$I,"&lt;LLOQ")=2,
"&lt;LLOQ",
IF(COUNTIFS(TNFa_Unknowns!$A:$A,K40,TNFa_Unknowns!$I:$I,"&gt;ULOQ")=2,
"&gt;ULOQ",
"review"))))),"")</f>
        <v/>
      </c>
    </row>
    <row r="41" spans="1:17" x14ac:dyDescent="0.2">
      <c r="A41" s="70" t="s">
        <v>72</v>
      </c>
      <c r="B41" s="58">
        <v>2</v>
      </c>
      <c r="C41" s="58">
        <v>69.22</v>
      </c>
      <c r="D41" s="42">
        <f>_xlfn.XLOOKUP(C41,tblTNFa[NetMFI],tblTNFa[NetMFI],"OOR&lt;",-1)</f>
        <v>19.852967194712999</v>
      </c>
      <c r="E41" s="42">
        <f>_xlfn.XLOOKUP(C41,tblTNFa[NetMFI],tblTNFa[Concentration],"OOR&lt;",-1)</f>
        <v>0.49</v>
      </c>
      <c r="F41" s="42">
        <f>_xlfn.XLOOKUP(C41,tblTNFa[NetMFI],tblTNFa[NetMFI],"OOR&gt;",1)</f>
        <v>70.939196579494606</v>
      </c>
      <c r="G41" s="42">
        <f>_xlfn.XLOOKUP(C41,tblTNFa[NetMFI],tblTNFa[Concentration],"OOR&gt;",1)</f>
        <v>2.4915115115115101</v>
      </c>
      <c r="H41" s="45">
        <f t="shared" si="1"/>
        <v>2.4241549697222915</v>
      </c>
      <c r="I41" s="60" t="str">
        <f t="shared" si="4"/>
        <v>OK</v>
      </c>
      <c r="L41" s="56" t="str">
        <f>IF(AND(K41&lt;&gt;"",K41&lt;&gt;0),COUNTIFS(TNFa_Unknowns!$A:$A,K41,
TNFa_Unknowns!$I:$I,"OK"),"")</f>
        <v/>
      </c>
      <c r="M41" s="3" t="str">
        <f>IF(AND(K41&lt;&gt;"",K41&lt;&gt;0),IF(L41=2,
AVERAGEIFS(
TNFa_Unknowns!$H:$H,
TNFa_Unknowns!$A:$A,K41,
TNFa_Unknowns!$I:$I,"OK"),
"N.C."),"")</f>
        <v/>
      </c>
      <c r="N41" s="3" t="str" cm="1">
        <f t="array" ref="N41">IF(AND(K41&lt;&gt;"",K41&lt;&gt;0),IF(L41=2,_xlfn.STDEV.S(_xlfn._xlws.FILTER(TNFa_Unknowns!$H:$H,(TNFa_Unknowns!$A:$A=K41)*(TNFa_Unknowns!$I:$I="OK"))),
"N.C."),"")</f>
        <v/>
      </c>
      <c r="O41" s="3" t="str">
        <f t="shared" si="2"/>
        <v/>
      </c>
      <c r="P41" s="3" t="str">
        <f t="shared" si="3"/>
        <v/>
      </c>
      <c r="Q41" t="str">
        <f>IF(AND(K41&lt;&gt;"",K41&lt;&gt;0),IF(COUNTIFS(TNFa_Unknowns!$A:$A,K41,TNFa_Unknowns!$I:$I,"OOR&gt;")&gt;0,
"OOR&gt;",
IF(COUNTIFS(TNFa_Unknowns!$A:$A,K41,TNFa_Unknowns!$I:$I,"OOR&lt;")&gt;0,
"OOR&lt;",
IF(COUNTIFS(TNFa_Unknowns!$A:$A,K41,TNFa_Unknowns!$I:$I,"OK")=2,
"quantifiable",
IF(COUNTIFS(TNFa_Unknowns!$A:$A,K41,TNFa_Unknowns!$I:$I,"&lt;LLOQ")=2,
"&lt;LLOQ",
IF(COUNTIFS(TNFa_Unknowns!$A:$A,K41,TNFa_Unknowns!$I:$I,"&gt;ULOQ")=2,
"&gt;ULOQ",
"review"))))),"")</f>
        <v/>
      </c>
    </row>
    <row r="42" spans="1:17" x14ac:dyDescent="0.2">
      <c r="A42" s="70" t="s">
        <v>73</v>
      </c>
      <c r="B42" s="58">
        <v>1</v>
      </c>
      <c r="C42" s="58">
        <v>184.1</v>
      </c>
      <c r="D42" s="42">
        <f>_xlfn.XLOOKUP(C42,tblTNFa[NetMFI],tblTNFa[NetMFI],"OOR&lt;",-1)</f>
        <v>148.02761478666801</v>
      </c>
      <c r="E42" s="42">
        <f>_xlfn.XLOOKUP(C42,tblTNFa[NetMFI],tblTNFa[Concentration],"OOR&lt;",-1)</f>
        <v>4.4930230230230199</v>
      </c>
      <c r="F42" s="42">
        <f>_xlfn.XLOOKUP(C42,tblTNFa[NetMFI],tblTNFa[NetMFI],"OOR&gt;",1)</f>
        <v>242.725013739395</v>
      </c>
      <c r="G42" s="42">
        <f>_xlfn.XLOOKUP(C42,tblTNFa[NetMFI],tblTNFa[Concentration],"OOR&gt;",1)</f>
        <v>6.49453453453454</v>
      </c>
      <c r="H42" s="45">
        <f t="shared" si="1"/>
        <v>5.2554441143161803</v>
      </c>
      <c r="I42" s="60" t="str">
        <f t="shared" si="4"/>
        <v>OK</v>
      </c>
      <c r="L42" s="56" t="str">
        <f>IF(AND(K42&lt;&gt;"",K42&lt;&gt;0),COUNTIFS(TNFa_Unknowns!$A:$A,K42,
TNFa_Unknowns!$I:$I,"OK"),"")</f>
        <v/>
      </c>
      <c r="M42" s="3" t="str">
        <f>IF(AND(K42&lt;&gt;"",K42&lt;&gt;0),IF(L42=2,
AVERAGEIFS(
TNFa_Unknowns!$H:$H,
TNFa_Unknowns!$A:$A,K42,
TNFa_Unknowns!$I:$I,"OK"),
"N.C."),"")</f>
        <v/>
      </c>
      <c r="N42" s="3" t="str" cm="1">
        <f t="array" ref="N42">IF(AND(K42&lt;&gt;"",K42&lt;&gt;0),IF(L42=2,_xlfn.STDEV.S(_xlfn._xlws.FILTER(TNFa_Unknowns!$H:$H,(TNFa_Unknowns!$A:$A=K42)*(TNFa_Unknowns!$I:$I="OK"))),
"N.C."),"")</f>
        <v/>
      </c>
      <c r="O42" s="3" t="str">
        <f t="shared" si="2"/>
        <v/>
      </c>
      <c r="P42" s="3" t="str">
        <f t="shared" si="3"/>
        <v/>
      </c>
      <c r="Q42" t="str">
        <f>IF(AND(K42&lt;&gt;"",K42&lt;&gt;0),IF(COUNTIFS(TNFa_Unknowns!$A:$A,K42,TNFa_Unknowns!$I:$I,"OOR&gt;")&gt;0,
"OOR&gt;",
IF(COUNTIFS(TNFa_Unknowns!$A:$A,K42,TNFa_Unknowns!$I:$I,"OOR&lt;")&gt;0,
"OOR&lt;",
IF(COUNTIFS(TNFa_Unknowns!$A:$A,K42,TNFa_Unknowns!$I:$I,"OK")=2,
"quantifiable",
IF(COUNTIFS(TNFa_Unknowns!$A:$A,K42,TNFa_Unknowns!$I:$I,"&lt;LLOQ")=2,
"&lt;LLOQ",
IF(COUNTIFS(TNFa_Unknowns!$A:$A,K42,TNFa_Unknowns!$I:$I,"&gt;ULOQ")=2,
"&gt;ULOQ",
"review"))))),"")</f>
        <v/>
      </c>
    </row>
    <row r="43" spans="1:17" x14ac:dyDescent="0.2">
      <c r="A43" s="70" t="s">
        <v>73</v>
      </c>
      <c r="B43" s="58">
        <v>2</v>
      </c>
      <c r="C43" s="58">
        <v>228.8</v>
      </c>
      <c r="D43" s="42">
        <f>_xlfn.XLOOKUP(C43,tblTNFa[NetMFI],tblTNFa[NetMFI],"OOR&lt;",-1)</f>
        <v>148.02761478666801</v>
      </c>
      <c r="E43" s="42">
        <f>_xlfn.XLOOKUP(C43,tblTNFa[NetMFI],tblTNFa[Concentration],"OOR&lt;",-1)</f>
        <v>4.4930230230230199</v>
      </c>
      <c r="F43" s="42">
        <f>_xlfn.XLOOKUP(C43,tblTNFa[NetMFI],tblTNFa[NetMFI],"OOR&gt;",1)</f>
        <v>242.725013739395</v>
      </c>
      <c r="G43" s="42">
        <f>_xlfn.XLOOKUP(C43,tblTNFa[NetMFI],tblTNFa[Concentration],"OOR&gt;",1)</f>
        <v>6.49453453453454</v>
      </c>
      <c r="H43" s="45">
        <f t="shared" si="1"/>
        <v>6.2002173135170082</v>
      </c>
      <c r="I43" s="60" t="str">
        <f t="shared" si="4"/>
        <v>OK</v>
      </c>
      <c r="L43" s="56" t="str">
        <f>IF(AND(K43&lt;&gt;"",K43&lt;&gt;0),COUNTIFS(TNFa_Unknowns!$A:$A,K43,
TNFa_Unknowns!$I:$I,"OK"),"")</f>
        <v/>
      </c>
      <c r="M43" s="3" t="str">
        <f>IF(AND(K43&lt;&gt;"",K43&lt;&gt;0),IF(L43=2,
AVERAGEIFS(
TNFa_Unknowns!$H:$H,
TNFa_Unknowns!$A:$A,K43,
TNFa_Unknowns!$I:$I,"OK"),
"N.C."),"")</f>
        <v/>
      </c>
      <c r="N43" s="3" t="str" cm="1">
        <f t="array" ref="N43">IF(AND(K43&lt;&gt;"",K43&lt;&gt;0),IF(L43=2,_xlfn.STDEV.S(_xlfn._xlws.FILTER(TNFa_Unknowns!$H:$H,(TNFa_Unknowns!$A:$A=K43)*(TNFa_Unknowns!$I:$I="OK"))),
"N.C."),"")</f>
        <v/>
      </c>
      <c r="O43" s="3" t="str">
        <f t="shared" si="2"/>
        <v/>
      </c>
      <c r="P43" s="3" t="str">
        <f t="shared" si="3"/>
        <v/>
      </c>
      <c r="Q43" t="str">
        <f>IF(AND(K43&lt;&gt;"",K43&lt;&gt;0),IF(COUNTIFS(TNFa_Unknowns!$A:$A,K43,TNFa_Unknowns!$I:$I,"OOR&gt;")&gt;0,
"OOR&gt;",
IF(COUNTIFS(TNFa_Unknowns!$A:$A,K43,TNFa_Unknowns!$I:$I,"OOR&lt;")&gt;0,
"OOR&lt;",
IF(COUNTIFS(TNFa_Unknowns!$A:$A,K43,TNFa_Unknowns!$I:$I,"OK")=2,
"quantifiable",
IF(COUNTIFS(TNFa_Unknowns!$A:$A,K43,TNFa_Unknowns!$I:$I,"&lt;LLOQ")=2,
"&lt;LLOQ",
IF(COUNTIFS(TNFa_Unknowns!$A:$A,K43,TNFa_Unknowns!$I:$I,"&gt;ULOQ")=2,
"&gt;ULOQ",
"review"))))),"")</f>
        <v/>
      </c>
    </row>
    <row r="44" spans="1:17" x14ac:dyDescent="0.2">
      <c r="A44" s="70" t="s">
        <v>74</v>
      </c>
      <c r="B44" s="58">
        <v>1</v>
      </c>
      <c r="C44" s="58">
        <v>102.81</v>
      </c>
      <c r="D44" s="42">
        <f>_xlfn.XLOOKUP(C44,tblTNFa[NetMFI],tblTNFa[NetMFI],"OOR&lt;",-1)</f>
        <v>70.939196579494606</v>
      </c>
      <c r="E44" s="42">
        <f>_xlfn.XLOOKUP(C44,tblTNFa[NetMFI],tblTNFa[Concentration],"OOR&lt;",-1)</f>
        <v>2.4915115115115101</v>
      </c>
      <c r="F44" s="42">
        <f>_xlfn.XLOOKUP(C44,tblTNFa[NetMFI],tblTNFa[NetMFI],"OOR&gt;",1)</f>
        <v>148.02761478666801</v>
      </c>
      <c r="G44" s="42">
        <f>_xlfn.XLOOKUP(C44,tblTNFa[NetMFI],tblTNFa[Concentration],"OOR&gt;",1)</f>
        <v>4.4930230230230199</v>
      </c>
      <c r="H44" s="45">
        <f t="shared" si="1"/>
        <v>3.3190000164102402</v>
      </c>
      <c r="I44" s="60" t="str">
        <f t="shared" si="4"/>
        <v>OK</v>
      </c>
      <c r="L44" s="56" t="str">
        <f>IF(AND(K44&lt;&gt;"",K44&lt;&gt;0),COUNTIFS(TNFa_Unknowns!$A:$A,K44,
TNFa_Unknowns!$I:$I,"OK"),"")</f>
        <v/>
      </c>
      <c r="M44" s="3" t="str">
        <f>IF(AND(K44&lt;&gt;"",K44&lt;&gt;0),IF(L44=2,
AVERAGEIFS(
TNFa_Unknowns!$H:$H,
TNFa_Unknowns!$A:$A,K44,
TNFa_Unknowns!$I:$I,"OK"),
"N.C."),"")</f>
        <v/>
      </c>
      <c r="N44" s="3" t="str" cm="1">
        <f t="array" ref="N44">IF(AND(K44&lt;&gt;"",K44&lt;&gt;0),IF(L44=2,_xlfn.STDEV.S(_xlfn._xlws.FILTER(TNFa_Unknowns!$H:$H,(TNFa_Unknowns!$A:$A=K44)*(TNFa_Unknowns!$I:$I="OK"))),
"N.C."),"")</f>
        <v/>
      </c>
      <c r="O44" s="3" t="str">
        <f t="shared" si="2"/>
        <v/>
      </c>
      <c r="P44" s="3" t="str">
        <f t="shared" si="3"/>
        <v/>
      </c>
      <c r="Q44" t="str">
        <f>IF(AND(K44&lt;&gt;"",K44&lt;&gt;0),IF(COUNTIFS(TNFa_Unknowns!$A:$A,K44,TNFa_Unknowns!$I:$I,"OOR&gt;")&gt;0,
"OOR&gt;",
IF(COUNTIFS(TNFa_Unknowns!$A:$A,K44,TNFa_Unknowns!$I:$I,"OOR&lt;")&gt;0,
"OOR&lt;",
IF(COUNTIFS(TNFa_Unknowns!$A:$A,K44,TNFa_Unknowns!$I:$I,"OK")=2,
"quantifiable",
IF(COUNTIFS(TNFa_Unknowns!$A:$A,K44,TNFa_Unknowns!$I:$I,"&lt;LLOQ")=2,
"&lt;LLOQ",
IF(COUNTIFS(TNFa_Unknowns!$A:$A,K44,TNFa_Unknowns!$I:$I,"&gt;ULOQ")=2,
"&gt;ULOQ",
"review"))))),"")</f>
        <v/>
      </c>
    </row>
    <row r="45" spans="1:17" x14ac:dyDescent="0.2">
      <c r="A45" s="70" t="s">
        <v>74</v>
      </c>
      <c r="B45" s="58">
        <v>2</v>
      </c>
      <c r="C45" s="58">
        <v>121.05</v>
      </c>
      <c r="D45" s="42">
        <f>_xlfn.XLOOKUP(C45,tblTNFa[NetMFI],tblTNFa[NetMFI],"OOR&lt;",-1)</f>
        <v>70.939196579494606</v>
      </c>
      <c r="E45" s="42">
        <f>_xlfn.XLOOKUP(C45,tblTNFa[NetMFI],tblTNFa[Concentration],"OOR&lt;",-1)</f>
        <v>2.4915115115115101</v>
      </c>
      <c r="F45" s="42">
        <f>_xlfn.XLOOKUP(C45,tblTNFa[NetMFI],tblTNFa[NetMFI],"OOR&gt;",1)</f>
        <v>148.02761478666801</v>
      </c>
      <c r="G45" s="42">
        <f>_xlfn.XLOOKUP(C45,tblTNFa[NetMFI],tblTNFa[Concentration],"OOR&gt;",1)</f>
        <v>4.4930230230230199</v>
      </c>
      <c r="H45" s="45">
        <f t="shared" si="1"/>
        <v>3.7925804947624702</v>
      </c>
      <c r="I45" s="60" t="str">
        <f t="shared" si="4"/>
        <v>OK</v>
      </c>
      <c r="L45" s="56" t="str">
        <f>IF(AND(K45&lt;&gt;"",K45&lt;&gt;0),COUNTIFS(TNFa_Unknowns!$A:$A,K45,
TNFa_Unknowns!$I:$I,"OK"),"")</f>
        <v/>
      </c>
      <c r="M45" s="3" t="str">
        <f>IF(AND(K45&lt;&gt;"",K45&lt;&gt;0),IF(L45=2,
AVERAGEIFS(
TNFa_Unknowns!$H:$H,
TNFa_Unknowns!$A:$A,K45,
TNFa_Unknowns!$I:$I,"OK"),
"N.C."),"")</f>
        <v/>
      </c>
      <c r="N45" s="3" t="str" cm="1">
        <f t="array" ref="N45">IF(AND(K45&lt;&gt;"",K45&lt;&gt;0),IF(L45=2,_xlfn.STDEV.S(_xlfn._xlws.FILTER(TNFa_Unknowns!$H:$H,(TNFa_Unknowns!$A:$A=K45)*(TNFa_Unknowns!$I:$I="OK"))),
"N.C."),"")</f>
        <v/>
      </c>
      <c r="O45" s="3" t="str">
        <f t="shared" si="2"/>
        <v/>
      </c>
      <c r="P45" s="3" t="str">
        <f t="shared" si="3"/>
        <v/>
      </c>
      <c r="Q45" t="str">
        <f>IF(AND(K45&lt;&gt;"",K45&lt;&gt;0),IF(COUNTIFS(TNFa_Unknowns!$A:$A,K45,TNFa_Unknowns!$I:$I,"OOR&gt;")&gt;0,
"OOR&gt;",
IF(COUNTIFS(TNFa_Unknowns!$A:$A,K45,TNFa_Unknowns!$I:$I,"OOR&lt;")&gt;0,
"OOR&lt;",
IF(COUNTIFS(TNFa_Unknowns!$A:$A,K45,TNFa_Unknowns!$I:$I,"OK")=2,
"quantifiable",
IF(COUNTIFS(TNFa_Unknowns!$A:$A,K45,TNFa_Unknowns!$I:$I,"&lt;LLOQ")=2,
"&lt;LLOQ",
IF(COUNTIFS(TNFa_Unknowns!$A:$A,K45,TNFa_Unknowns!$I:$I,"&gt;ULOQ")=2,
"&gt;ULOQ",
"review"))))),"")</f>
        <v/>
      </c>
    </row>
    <row r="46" spans="1:17" x14ac:dyDescent="0.2">
      <c r="A46" s="70" t="s">
        <v>75</v>
      </c>
      <c r="B46" s="58">
        <v>1</v>
      </c>
      <c r="C46" s="58">
        <v>89.15</v>
      </c>
      <c r="D46" s="42">
        <f>_xlfn.XLOOKUP(C46,tblTNFa[NetMFI],tblTNFa[NetMFI],"OOR&lt;",-1)</f>
        <v>70.939196579494606</v>
      </c>
      <c r="E46" s="42">
        <f>_xlfn.XLOOKUP(C46,tblTNFa[NetMFI],tblTNFa[Concentration],"OOR&lt;",-1)</f>
        <v>2.4915115115115101</v>
      </c>
      <c r="F46" s="42">
        <f>_xlfn.XLOOKUP(C46,tblTNFa[NetMFI],tblTNFa[NetMFI],"OOR&gt;",1)</f>
        <v>148.02761478666801</v>
      </c>
      <c r="G46" s="42">
        <f>_xlfn.XLOOKUP(C46,tblTNFa[NetMFI],tblTNFa[Concentration],"OOR&gt;",1)</f>
        <v>4.4930230230230199</v>
      </c>
      <c r="H46" s="45">
        <f t="shared" si="1"/>
        <v>2.964333934486366</v>
      </c>
      <c r="I46" s="60" t="str">
        <f t="shared" si="4"/>
        <v>OK</v>
      </c>
      <c r="L46" s="56" t="str">
        <f>IF(AND(K46&lt;&gt;"",K46&lt;&gt;0),COUNTIFS(TNFa_Unknowns!$A:$A,K46,
TNFa_Unknowns!$I:$I,"OK"),"")</f>
        <v/>
      </c>
      <c r="M46" s="3" t="str">
        <f>IF(AND(K46&lt;&gt;"",K46&lt;&gt;0),IF(L46=2,
AVERAGEIFS(
TNFa_Unknowns!$H:$H,
TNFa_Unknowns!$A:$A,K46,
TNFa_Unknowns!$I:$I,"OK"),
"N.C."),"")</f>
        <v/>
      </c>
      <c r="N46" s="3" t="str" cm="1">
        <f t="array" ref="N46">IF(AND(K46&lt;&gt;"",K46&lt;&gt;0),IF(L46=2,_xlfn.STDEV.S(_xlfn._xlws.FILTER(TNFa_Unknowns!$H:$H,(TNFa_Unknowns!$A:$A=K46)*(TNFa_Unknowns!$I:$I="OK"))),
"N.C."),"")</f>
        <v/>
      </c>
      <c r="O46" s="3" t="str">
        <f t="shared" si="2"/>
        <v/>
      </c>
      <c r="P46" s="3" t="str">
        <f t="shared" si="3"/>
        <v/>
      </c>
      <c r="Q46" t="str">
        <f>IF(AND(K46&lt;&gt;"",K46&lt;&gt;0),IF(COUNTIFS(TNFa_Unknowns!$A:$A,K46,TNFa_Unknowns!$I:$I,"OOR&gt;")&gt;0,
"OOR&gt;",
IF(COUNTIFS(TNFa_Unknowns!$A:$A,K46,TNFa_Unknowns!$I:$I,"OOR&lt;")&gt;0,
"OOR&lt;",
IF(COUNTIFS(TNFa_Unknowns!$A:$A,K46,TNFa_Unknowns!$I:$I,"OK")=2,
"quantifiable",
IF(COUNTIFS(TNFa_Unknowns!$A:$A,K46,TNFa_Unknowns!$I:$I,"&lt;LLOQ")=2,
"&lt;LLOQ",
IF(COUNTIFS(TNFa_Unknowns!$A:$A,K46,TNFa_Unknowns!$I:$I,"&gt;ULOQ")=2,
"&gt;ULOQ",
"review"))))),"")</f>
        <v/>
      </c>
    </row>
    <row r="47" spans="1:17" x14ac:dyDescent="0.2">
      <c r="A47" s="70" t="s">
        <v>75</v>
      </c>
      <c r="B47" s="58">
        <v>2</v>
      </c>
      <c r="C47" s="58">
        <v>78.260000000000005</v>
      </c>
      <c r="D47" s="42">
        <f>_xlfn.XLOOKUP(C47,tblTNFa[NetMFI],tblTNFa[NetMFI],"OOR&lt;",-1)</f>
        <v>70.939196579494606</v>
      </c>
      <c r="E47" s="42">
        <f>_xlfn.XLOOKUP(C47,tblTNFa[NetMFI],tblTNFa[Concentration],"OOR&lt;",-1)</f>
        <v>2.4915115115115101</v>
      </c>
      <c r="F47" s="42">
        <f>_xlfn.XLOOKUP(C47,tblTNFa[NetMFI],tblTNFa[NetMFI],"OOR&gt;",1)</f>
        <v>148.02761478666801</v>
      </c>
      <c r="G47" s="42">
        <f>_xlfn.XLOOKUP(C47,tblTNFa[NetMFI],tblTNFa[Concentration],"OOR&gt;",1)</f>
        <v>4.4930230230230199</v>
      </c>
      <c r="H47" s="45">
        <f t="shared" si="1"/>
        <v>2.681587694943834</v>
      </c>
      <c r="I47" s="60" t="str">
        <f t="shared" si="4"/>
        <v>OK</v>
      </c>
      <c r="L47" s="56" t="str">
        <f>IF(AND(K47&lt;&gt;"",K47&lt;&gt;0),COUNTIFS(TNFa_Unknowns!$A:$A,K47,
TNFa_Unknowns!$I:$I,"OK"),"")</f>
        <v/>
      </c>
      <c r="M47" s="3" t="str">
        <f>IF(AND(K47&lt;&gt;"",K47&lt;&gt;0),IF(L47=2,
AVERAGEIFS(
TNFa_Unknowns!$H:$H,
TNFa_Unknowns!$A:$A,K47,
TNFa_Unknowns!$I:$I,"OK"),
"N.C."),"")</f>
        <v/>
      </c>
      <c r="N47" s="3" t="str" cm="1">
        <f t="array" ref="N47">IF(AND(K47&lt;&gt;"",K47&lt;&gt;0),IF(L47=2,_xlfn.STDEV.S(_xlfn._xlws.FILTER(TNFa_Unknowns!$H:$H,(TNFa_Unknowns!$A:$A=K47)*(TNFa_Unknowns!$I:$I="OK"))),
"N.C."),"")</f>
        <v/>
      </c>
      <c r="O47" s="3" t="str">
        <f t="shared" si="2"/>
        <v/>
      </c>
      <c r="P47" s="3" t="str">
        <f t="shared" si="3"/>
        <v/>
      </c>
      <c r="Q47" t="str">
        <f>IF(AND(K47&lt;&gt;"",K47&lt;&gt;0),IF(COUNTIFS(TNFa_Unknowns!$A:$A,K47,TNFa_Unknowns!$I:$I,"OOR&gt;")&gt;0,
"OOR&gt;",
IF(COUNTIFS(TNFa_Unknowns!$A:$A,K47,TNFa_Unknowns!$I:$I,"OOR&lt;")&gt;0,
"OOR&lt;",
IF(COUNTIFS(TNFa_Unknowns!$A:$A,K47,TNFa_Unknowns!$I:$I,"OK")=2,
"quantifiable",
IF(COUNTIFS(TNFa_Unknowns!$A:$A,K47,TNFa_Unknowns!$I:$I,"&lt;LLOQ")=2,
"&lt;LLOQ",
IF(COUNTIFS(TNFa_Unknowns!$A:$A,K47,TNFa_Unknowns!$I:$I,"&gt;ULOQ")=2,
"&gt;ULOQ",
"review"))))),"")</f>
        <v/>
      </c>
    </row>
    <row r="48" spans="1:17" x14ac:dyDescent="0.2">
      <c r="A48" s="70" t="s">
        <v>76</v>
      </c>
      <c r="B48" s="58">
        <v>1</v>
      </c>
      <c r="C48" s="58">
        <v>56.59</v>
      </c>
      <c r="D48" s="42">
        <f>_xlfn.XLOOKUP(C48,tblTNFa[NetMFI],tblTNFa[NetMFI],"OOR&lt;",-1)</f>
        <v>19.852967194712999</v>
      </c>
      <c r="E48" s="42">
        <f>_xlfn.XLOOKUP(C48,tblTNFa[NetMFI],tblTNFa[Concentration],"OOR&lt;",-1)</f>
        <v>0.49</v>
      </c>
      <c r="F48" s="42">
        <f>_xlfn.XLOOKUP(C48,tblTNFa[NetMFI],tblTNFa[NetMFI],"OOR&gt;",1)</f>
        <v>70.939196579494606</v>
      </c>
      <c r="G48" s="42">
        <f>_xlfn.XLOOKUP(C48,tblTNFa[NetMFI],tblTNFa[Concentration],"OOR&gt;",1)</f>
        <v>2.4915115115115101</v>
      </c>
      <c r="H48" s="45">
        <f t="shared" si="1"/>
        <v>1.9293231785562572</v>
      </c>
      <c r="I48" s="60" t="str">
        <f t="shared" si="4"/>
        <v>&lt;LLOQ</v>
      </c>
      <c r="L48" s="56" t="str">
        <f>IF(AND(K48&lt;&gt;"",K48&lt;&gt;0),COUNTIFS(TNFa_Unknowns!$A:$A,K48,
TNFa_Unknowns!$I:$I,"OK"),"")</f>
        <v/>
      </c>
      <c r="M48" s="3" t="str">
        <f>IF(AND(K48&lt;&gt;"",K48&lt;&gt;0),IF(L48=2,
AVERAGEIFS(
TNFa_Unknowns!$H:$H,
TNFa_Unknowns!$A:$A,K48,
TNFa_Unknowns!$I:$I,"OK"),
"N.C."),"")</f>
        <v/>
      </c>
      <c r="N48" s="3" t="str" cm="1">
        <f t="array" ref="N48">IF(AND(K48&lt;&gt;"",K48&lt;&gt;0),IF(L48=2,_xlfn.STDEV.S(_xlfn._xlws.FILTER(TNFa_Unknowns!$H:$H,(TNFa_Unknowns!$A:$A=K48)*(TNFa_Unknowns!$I:$I="OK"))),
"N.C."),"")</f>
        <v/>
      </c>
      <c r="O48" s="3" t="str">
        <f t="shared" si="2"/>
        <v/>
      </c>
      <c r="P48" s="3" t="str">
        <f t="shared" si="3"/>
        <v/>
      </c>
      <c r="Q48" t="str">
        <f>IF(AND(K48&lt;&gt;"",K48&lt;&gt;0),IF(COUNTIFS(TNFa_Unknowns!$A:$A,K48,TNFa_Unknowns!$I:$I,"OOR&gt;")&gt;0,
"OOR&gt;",
IF(COUNTIFS(TNFa_Unknowns!$A:$A,K48,TNFa_Unknowns!$I:$I,"OOR&lt;")&gt;0,
"OOR&lt;",
IF(COUNTIFS(TNFa_Unknowns!$A:$A,K48,TNFa_Unknowns!$I:$I,"OK")=2,
"quantifiable",
IF(COUNTIFS(TNFa_Unknowns!$A:$A,K48,TNFa_Unknowns!$I:$I,"&lt;LLOQ")=2,
"&lt;LLOQ",
IF(COUNTIFS(TNFa_Unknowns!$A:$A,K48,TNFa_Unknowns!$I:$I,"&gt;ULOQ")=2,
"&gt;ULOQ",
"review"))))),"")</f>
        <v/>
      </c>
    </row>
    <row r="49" spans="1:17" x14ac:dyDescent="0.2">
      <c r="A49" s="70" t="s">
        <v>76</v>
      </c>
      <c r="B49" s="58">
        <v>2</v>
      </c>
      <c r="C49" s="58">
        <v>70.84</v>
      </c>
      <c r="D49" s="42">
        <f>_xlfn.XLOOKUP(C49,tblTNFa[NetMFI],tblTNFa[NetMFI],"OOR&lt;",-1)</f>
        <v>19.852967194712999</v>
      </c>
      <c r="E49" s="42">
        <f>_xlfn.XLOOKUP(C49,tblTNFa[NetMFI],tblTNFa[Concentration],"OOR&lt;",-1)</f>
        <v>0.49</v>
      </c>
      <c r="F49" s="42">
        <f>_xlfn.XLOOKUP(C49,tblTNFa[NetMFI],tblTNFa[NetMFI],"OOR&gt;",1)</f>
        <v>70.939196579494606</v>
      </c>
      <c r="G49" s="42">
        <f>_xlfn.XLOOKUP(C49,tblTNFa[NetMFI],tblTNFa[Concentration],"OOR&gt;",1)</f>
        <v>2.4915115115115101</v>
      </c>
      <c r="H49" s="45">
        <f t="shared" si="1"/>
        <v>2.4876250807032081</v>
      </c>
      <c r="I49" s="60" t="str">
        <f t="shared" si="4"/>
        <v>OK</v>
      </c>
      <c r="L49" s="56" t="str">
        <f>IF(AND(K49&lt;&gt;"",K49&lt;&gt;0),COUNTIFS(TNFa_Unknowns!$A:$A,K49,
TNFa_Unknowns!$I:$I,"OK"),"")</f>
        <v/>
      </c>
      <c r="M49" s="3" t="str">
        <f>IF(AND(K49&lt;&gt;"",K49&lt;&gt;0),IF(L49=2,
AVERAGEIFS(
TNFa_Unknowns!$H:$H,
TNFa_Unknowns!$A:$A,K49,
TNFa_Unknowns!$I:$I,"OK"),
"N.C."),"")</f>
        <v/>
      </c>
      <c r="N49" s="3" t="str" cm="1">
        <f t="array" ref="N49">IF(AND(K49&lt;&gt;"",K49&lt;&gt;0),IF(L49=2,_xlfn.STDEV.S(_xlfn._xlws.FILTER(TNFa_Unknowns!$H:$H,(TNFa_Unknowns!$A:$A=K49)*(TNFa_Unknowns!$I:$I="OK"))),
"N.C."),"")</f>
        <v/>
      </c>
      <c r="O49" s="3" t="str">
        <f t="shared" si="2"/>
        <v/>
      </c>
      <c r="P49" s="3" t="str">
        <f t="shared" si="3"/>
        <v/>
      </c>
      <c r="Q49" t="str">
        <f>IF(AND(K49&lt;&gt;"",K49&lt;&gt;0),IF(COUNTIFS(TNFa_Unknowns!$A:$A,K49,TNFa_Unknowns!$I:$I,"OOR&gt;")&gt;0,
"OOR&gt;",
IF(COUNTIFS(TNFa_Unknowns!$A:$A,K49,TNFa_Unknowns!$I:$I,"OOR&lt;")&gt;0,
"OOR&lt;",
IF(COUNTIFS(TNFa_Unknowns!$A:$A,K49,TNFa_Unknowns!$I:$I,"OK")=2,
"quantifiable",
IF(COUNTIFS(TNFa_Unknowns!$A:$A,K49,TNFa_Unknowns!$I:$I,"&lt;LLOQ")=2,
"&lt;LLOQ",
IF(COUNTIFS(TNFa_Unknowns!$A:$A,K49,TNFa_Unknowns!$I:$I,"&gt;ULOQ")=2,
"&gt;ULOQ",
"review"))))),"")</f>
        <v/>
      </c>
    </row>
    <row r="50" spans="1:17" x14ac:dyDescent="0.2">
      <c r="A50" s="70" t="s">
        <v>77</v>
      </c>
      <c r="B50" s="58">
        <v>1</v>
      </c>
      <c r="C50" s="58">
        <v>98.23</v>
      </c>
      <c r="D50" s="42">
        <f>_xlfn.XLOOKUP(C50,tblTNFa[NetMFI],tblTNFa[NetMFI],"OOR&lt;",-1)</f>
        <v>70.939196579494606</v>
      </c>
      <c r="E50" s="42">
        <f>_xlfn.XLOOKUP(C50,tblTNFa[NetMFI],tblTNFa[Concentration],"OOR&lt;",-1)</f>
        <v>2.4915115115115101</v>
      </c>
      <c r="F50" s="42">
        <f>_xlfn.XLOOKUP(C50,tblTNFa[NetMFI],tblTNFa[NetMFI],"OOR&gt;",1)</f>
        <v>148.02761478666801</v>
      </c>
      <c r="G50" s="42">
        <f>_xlfn.XLOOKUP(C50,tblTNFa[NetMFI],tblTNFa[Concentration],"OOR&gt;",1)</f>
        <v>4.4930230230230199</v>
      </c>
      <c r="H50" s="45">
        <f t="shared" si="1"/>
        <v>3.2000856199818841</v>
      </c>
      <c r="I50" s="60" t="str">
        <f t="shared" si="4"/>
        <v>OK</v>
      </c>
      <c r="L50" s="56" t="str">
        <f>IF(AND(K50&lt;&gt;"",K50&lt;&gt;0),COUNTIFS(TNFa_Unknowns!$A:$A,K50,
TNFa_Unknowns!$I:$I,"OK"),"")</f>
        <v/>
      </c>
      <c r="M50" s="3" t="str">
        <f>IF(AND(K50&lt;&gt;"",K50&lt;&gt;0),IF(L50=2,
AVERAGEIFS(
TNFa_Unknowns!$H:$H,
TNFa_Unknowns!$A:$A,K50,
TNFa_Unknowns!$I:$I,"OK"),
"N.C."),"")</f>
        <v/>
      </c>
      <c r="N50" s="3" t="str" cm="1">
        <f t="array" ref="N50">IF(AND(K50&lt;&gt;"",K50&lt;&gt;0),IF(L50=2,_xlfn.STDEV.S(_xlfn._xlws.FILTER(TNFa_Unknowns!$H:$H,(TNFa_Unknowns!$A:$A=K50)*(TNFa_Unknowns!$I:$I="OK"))),
"N.C."),"")</f>
        <v/>
      </c>
      <c r="O50" s="3" t="str">
        <f t="shared" si="2"/>
        <v/>
      </c>
      <c r="P50" s="3" t="str">
        <f t="shared" si="3"/>
        <v/>
      </c>
      <c r="Q50" t="str">
        <f>IF(AND(K50&lt;&gt;"",K50&lt;&gt;0),IF(COUNTIFS(TNFa_Unknowns!$A:$A,K50,TNFa_Unknowns!$I:$I,"OOR&gt;")&gt;0,
"OOR&gt;",
IF(COUNTIFS(TNFa_Unknowns!$A:$A,K50,TNFa_Unknowns!$I:$I,"OOR&lt;")&gt;0,
"OOR&lt;",
IF(COUNTIFS(TNFa_Unknowns!$A:$A,K50,TNFa_Unknowns!$I:$I,"OK")=2,
"quantifiable",
IF(COUNTIFS(TNFa_Unknowns!$A:$A,K50,TNFa_Unknowns!$I:$I,"&lt;LLOQ")=2,
"&lt;LLOQ",
IF(COUNTIFS(TNFa_Unknowns!$A:$A,K50,TNFa_Unknowns!$I:$I,"&gt;ULOQ")=2,
"&gt;ULOQ",
"review"))))),"")</f>
        <v/>
      </c>
    </row>
    <row r="51" spans="1:17" x14ac:dyDescent="0.2">
      <c r="A51" s="70" t="s">
        <v>77</v>
      </c>
      <c r="B51" s="58">
        <v>2</v>
      </c>
      <c r="C51" s="58">
        <v>115.94</v>
      </c>
      <c r="D51" s="42">
        <f>_xlfn.XLOOKUP(C51,tblTNFa[NetMFI],tblTNFa[NetMFI],"OOR&lt;",-1)</f>
        <v>70.939196579494606</v>
      </c>
      <c r="E51" s="42">
        <f>_xlfn.XLOOKUP(C51,tblTNFa[NetMFI],tblTNFa[Concentration],"OOR&lt;",-1)</f>
        <v>2.4915115115115101</v>
      </c>
      <c r="F51" s="42">
        <f>_xlfn.XLOOKUP(C51,tblTNFa[NetMFI],tblTNFa[NetMFI],"OOR&gt;",1)</f>
        <v>148.02761478666801</v>
      </c>
      <c r="G51" s="42">
        <f>_xlfn.XLOOKUP(C51,tblTNFa[NetMFI],tblTNFa[Concentration],"OOR&gt;",1)</f>
        <v>4.4930230230230199</v>
      </c>
      <c r="H51" s="45">
        <f t="shared" si="1"/>
        <v>3.6599052620662036</v>
      </c>
      <c r="I51" s="60" t="str">
        <f t="shared" si="4"/>
        <v>OK</v>
      </c>
      <c r="L51" s="56" t="str">
        <f>IF(AND(K51&lt;&gt;"",K51&lt;&gt;0),COUNTIFS(TNFa_Unknowns!$A:$A,K51,
TNFa_Unknowns!$I:$I,"OK"),"")</f>
        <v/>
      </c>
      <c r="M51" s="3" t="str">
        <f>IF(AND(K51&lt;&gt;"",K51&lt;&gt;0),IF(L51=2,
AVERAGEIFS(
TNFa_Unknowns!$H:$H,
TNFa_Unknowns!$A:$A,K51,
TNFa_Unknowns!$I:$I,"OK"),
"N.C."),"")</f>
        <v/>
      </c>
      <c r="N51" s="3" t="str" cm="1">
        <f t="array" ref="N51">IF(AND(K51&lt;&gt;"",K51&lt;&gt;0),IF(L51=2,_xlfn.STDEV.S(_xlfn._xlws.FILTER(TNFa_Unknowns!$H:$H,(TNFa_Unknowns!$A:$A=K51)*(TNFa_Unknowns!$I:$I="OK"))),
"N.C."),"")</f>
        <v/>
      </c>
      <c r="O51" s="3" t="str">
        <f t="shared" si="2"/>
        <v/>
      </c>
      <c r="P51" s="3" t="str">
        <f t="shared" si="3"/>
        <v/>
      </c>
      <c r="Q51" t="str">
        <f>IF(AND(K51&lt;&gt;"",K51&lt;&gt;0),IF(COUNTIFS(TNFa_Unknowns!$A:$A,K51,TNFa_Unknowns!$I:$I,"OOR&gt;")&gt;0,
"OOR&gt;",
IF(COUNTIFS(TNFa_Unknowns!$A:$A,K51,TNFa_Unknowns!$I:$I,"OOR&lt;")&gt;0,
"OOR&lt;",
IF(COUNTIFS(TNFa_Unknowns!$A:$A,K51,TNFa_Unknowns!$I:$I,"OK")=2,
"quantifiable",
IF(COUNTIFS(TNFa_Unknowns!$A:$A,K51,TNFa_Unknowns!$I:$I,"&lt;LLOQ")=2,
"&lt;LLOQ",
IF(COUNTIFS(TNFa_Unknowns!$A:$A,K51,TNFa_Unknowns!$I:$I,"&gt;ULOQ")=2,
"&gt;ULOQ",
"review"))))),"")</f>
        <v/>
      </c>
    </row>
    <row r="52" spans="1:17" x14ac:dyDescent="0.2">
      <c r="A52" s="70" t="s">
        <v>78</v>
      </c>
      <c r="B52" s="58">
        <v>1</v>
      </c>
      <c r="C52" s="58">
        <v>59.7</v>
      </c>
      <c r="D52" s="42">
        <f>_xlfn.XLOOKUP(C52,tblTNFa[NetMFI],tblTNFa[NetMFI],"OOR&lt;",-1)</f>
        <v>19.852967194712999</v>
      </c>
      <c r="E52" s="42">
        <f>_xlfn.XLOOKUP(C52,tblTNFa[NetMFI],tblTNFa[Concentration],"OOR&lt;",-1)</f>
        <v>0.49</v>
      </c>
      <c r="F52" s="42">
        <f>_xlfn.XLOOKUP(C52,tblTNFa[NetMFI],tblTNFa[NetMFI],"OOR&gt;",1)</f>
        <v>70.939196579494606</v>
      </c>
      <c r="G52" s="42">
        <f>_xlfn.XLOOKUP(C52,tblTNFa[NetMFI],tblTNFa[Concentration],"OOR&gt;",1)</f>
        <v>2.4915115115115101</v>
      </c>
      <c r="H52" s="45">
        <f t="shared" si="1"/>
        <v>2.0511701200072761</v>
      </c>
      <c r="I52" s="60" t="str">
        <f t="shared" si="4"/>
        <v>OK</v>
      </c>
      <c r="L52" s="56" t="str">
        <f>IF(AND(K52&lt;&gt;"",K52&lt;&gt;0),COUNTIFS(TNFa_Unknowns!$A:$A,K52,
TNFa_Unknowns!$I:$I,"OK"),"")</f>
        <v/>
      </c>
      <c r="M52" s="3" t="str">
        <f>IF(AND(K52&lt;&gt;"",K52&lt;&gt;0),IF(L52=2,
AVERAGEIFS(
TNFa_Unknowns!$H:$H,
TNFa_Unknowns!$A:$A,K52,
TNFa_Unknowns!$I:$I,"OK"),
"N.C."),"")</f>
        <v/>
      </c>
      <c r="N52" s="3" t="str" cm="1">
        <f t="array" ref="N52">IF(AND(K52&lt;&gt;"",K52&lt;&gt;0),IF(L52=2,_xlfn.STDEV.S(_xlfn._xlws.FILTER(TNFa_Unknowns!$H:$H,(TNFa_Unknowns!$A:$A=K52)*(TNFa_Unknowns!$I:$I="OK"))),
"N.C."),"")</f>
        <v/>
      </c>
      <c r="O52" s="3" t="str">
        <f t="shared" si="2"/>
        <v/>
      </c>
      <c r="P52" s="3" t="str">
        <f t="shared" si="3"/>
        <v/>
      </c>
      <c r="Q52" t="str">
        <f>IF(AND(K52&lt;&gt;"",K52&lt;&gt;0),IF(COUNTIFS(TNFa_Unknowns!$A:$A,K52,TNFa_Unknowns!$I:$I,"OOR&gt;")&gt;0,
"OOR&gt;",
IF(COUNTIFS(TNFa_Unknowns!$A:$A,K52,TNFa_Unknowns!$I:$I,"OOR&lt;")&gt;0,
"OOR&lt;",
IF(COUNTIFS(TNFa_Unknowns!$A:$A,K52,TNFa_Unknowns!$I:$I,"OK")=2,
"quantifiable",
IF(COUNTIFS(TNFa_Unknowns!$A:$A,K52,TNFa_Unknowns!$I:$I,"&lt;LLOQ")=2,
"&lt;LLOQ",
IF(COUNTIFS(TNFa_Unknowns!$A:$A,K52,TNFa_Unknowns!$I:$I,"&gt;ULOQ")=2,
"&gt;ULOQ",
"review"))))),"")</f>
        <v/>
      </c>
    </row>
    <row r="53" spans="1:17" x14ac:dyDescent="0.2">
      <c r="A53" s="70" t="s">
        <v>78</v>
      </c>
      <c r="B53" s="58">
        <v>2</v>
      </c>
      <c r="C53" s="58">
        <v>81.55</v>
      </c>
      <c r="D53" s="42">
        <f>_xlfn.XLOOKUP(C53,tblTNFa[NetMFI],tblTNFa[NetMFI],"OOR&lt;",-1)</f>
        <v>70.939196579494606</v>
      </c>
      <c r="E53" s="42">
        <f>_xlfn.XLOOKUP(C53,tblTNFa[NetMFI],tblTNFa[Concentration],"OOR&lt;",-1)</f>
        <v>2.4915115115115101</v>
      </c>
      <c r="F53" s="42">
        <f>_xlfn.XLOOKUP(C53,tblTNFa[NetMFI],tblTNFa[NetMFI],"OOR&gt;",1)</f>
        <v>148.02761478666801</v>
      </c>
      <c r="G53" s="42">
        <f>_xlfn.XLOOKUP(C53,tblTNFa[NetMFI],tblTNFa[Concentration],"OOR&gt;",1)</f>
        <v>4.4930230230230199</v>
      </c>
      <c r="H53" s="45">
        <f t="shared" si="1"/>
        <v>2.7670087351729364</v>
      </c>
      <c r="I53" s="60" t="str">
        <f t="shared" si="4"/>
        <v>OK</v>
      </c>
      <c r="L53" s="56" t="str">
        <f>IF(AND(K53&lt;&gt;"",K53&lt;&gt;0),COUNTIFS(TNFa_Unknowns!$A:$A,K53,
TNFa_Unknowns!$I:$I,"OK"),"")</f>
        <v/>
      </c>
      <c r="M53" s="3" t="str">
        <f>IF(AND(K53&lt;&gt;"",K53&lt;&gt;0),IF(L53=2,
AVERAGEIFS(
TNFa_Unknowns!$H:$H,
TNFa_Unknowns!$A:$A,K53,
TNFa_Unknowns!$I:$I,"OK"),
"N.C."),"")</f>
        <v/>
      </c>
      <c r="N53" s="3" t="str" cm="1">
        <f t="array" ref="N53">IF(AND(K53&lt;&gt;"",K53&lt;&gt;0),IF(L53=2,_xlfn.STDEV.S(_xlfn._xlws.FILTER(TNFa_Unknowns!$H:$H,(TNFa_Unknowns!$A:$A=K53)*(TNFa_Unknowns!$I:$I="OK"))),
"N.C."),"")</f>
        <v/>
      </c>
      <c r="O53" s="3" t="str">
        <f t="shared" si="2"/>
        <v/>
      </c>
      <c r="P53" s="3" t="str">
        <f t="shared" si="3"/>
        <v/>
      </c>
      <c r="Q53" t="str">
        <f>IF(AND(K53&lt;&gt;"",K53&lt;&gt;0),IF(COUNTIFS(TNFa_Unknowns!$A:$A,K53,TNFa_Unknowns!$I:$I,"OOR&gt;")&gt;0,
"OOR&gt;",
IF(COUNTIFS(TNFa_Unknowns!$A:$A,K53,TNFa_Unknowns!$I:$I,"OOR&lt;")&gt;0,
"OOR&lt;",
IF(COUNTIFS(TNFa_Unknowns!$A:$A,K53,TNFa_Unknowns!$I:$I,"OK")=2,
"quantifiable",
IF(COUNTIFS(TNFa_Unknowns!$A:$A,K53,TNFa_Unknowns!$I:$I,"&lt;LLOQ")=2,
"&lt;LLOQ",
IF(COUNTIFS(TNFa_Unknowns!$A:$A,K53,TNFa_Unknowns!$I:$I,"&gt;ULOQ")=2,
"&gt;ULOQ",
"review"))))),"")</f>
        <v/>
      </c>
    </row>
    <row r="54" spans="1:17" x14ac:dyDescent="0.2">
      <c r="A54" s="70" t="s">
        <v>79</v>
      </c>
      <c r="B54" s="58">
        <v>1</v>
      </c>
      <c r="C54" s="58">
        <v>140.75</v>
      </c>
      <c r="D54" s="42">
        <f>_xlfn.XLOOKUP(C54,tblTNFa[NetMFI],tblTNFa[NetMFI],"OOR&lt;",-1)</f>
        <v>70.939196579494606</v>
      </c>
      <c r="E54" s="42">
        <f>_xlfn.XLOOKUP(C54,tblTNFa[NetMFI],tblTNFa[Concentration],"OOR&lt;",-1)</f>
        <v>2.4915115115115101</v>
      </c>
      <c r="F54" s="42">
        <f>_xlfn.XLOOKUP(C54,tblTNFa[NetMFI],tblTNFa[NetMFI],"OOR&gt;",1)</f>
        <v>148.02761478666801</v>
      </c>
      <c r="G54" s="42">
        <f>_xlfn.XLOOKUP(C54,tblTNFa[NetMFI],tblTNFa[Concentration],"OOR&gt;",1)</f>
        <v>4.4930230230230199</v>
      </c>
      <c r="H54" s="45">
        <f t="shared" si="1"/>
        <v>4.3040681824564899</v>
      </c>
      <c r="I54" s="60" t="str">
        <f t="shared" si="4"/>
        <v>OK</v>
      </c>
      <c r="L54" s="56" t="str">
        <f>IF(AND(K54&lt;&gt;"",K54&lt;&gt;0),COUNTIFS(TNFa_Unknowns!$A:$A,K54,
TNFa_Unknowns!$I:$I,"OK"),"")</f>
        <v/>
      </c>
      <c r="M54" s="3" t="str">
        <f>IF(AND(K54&lt;&gt;"",K54&lt;&gt;0),IF(L54=2,
AVERAGEIFS(
TNFa_Unknowns!$H:$H,
TNFa_Unknowns!$A:$A,K54,
TNFa_Unknowns!$I:$I,"OK"),
"N.C."),"")</f>
        <v/>
      </c>
      <c r="N54" s="3" t="str" cm="1">
        <f t="array" ref="N54">IF(AND(K54&lt;&gt;"",K54&lt;&gt;0),IF(L54=2,_xlfn.STDEV.S(_xlfn._xlws.FILTER(TNFa_Unknowns!$H:$H,(TNFa_Unknowns!$A:$A=K54)*(TNFa_Unknowns!$I:$I="OK"))),
"N.C."),"")</f>
        <v/>
      </c>
      <c r="O54" s="3" t="str">
        <f t="shared" si="2"/>
        <v/>
      </c>
      <c r="P54" s="3" t="str">
        <f t="shared" si="3"/>
        <v/>
      </c>
      <c r="Q54" t="str">
        <f>IF(AND(K54&lt;&gt;"",K54&lt;&gt;0),IF(COUNTIFS(TNFa_Unknowns!$A:$A,K54,TNFa_Unknowns!$I:$I,"OOR&gt;")&gt;0,
"OOR&gt;",
IF(COUNTIFS(TNFa_Unknowns!$A:$A,K54,TNFa_Unknowns!$I:$I,"OOR&lt;")&gt;0,
"OOR&lt;",
IF(COUNTIFS(TNFa_Unknowns!$A:$A,K54,TNFa_Unknowns!$I:$I,"OK")=2,
"quantifiable",
IF(COUNTIFS(TNFa_Unknowns!$A:$A,K54,TNFa_Unknowns!$I:$I,"&lt;LLOQ")=2,
"&lt;LLOQ",
IF(COUNTIFS(TNFa_Unknowns!$A:$A,K54,TNFa_Unknowns!$I:$I,"&gt;ULOQ")=2,
"&gt;ULOQ",
"review"))))),"")</f>
        <v/>
      </c>
    </row>
    <row r="55" spans="1:17" x14ac:dyDescent="0.2">
      <c r="A55" s="70" t="s">
        <v>79</v>
      </c>
      <c r="B55" s="58">
        <v>2</v>
      </c>
      <c r="C55" s="58">
        <v>106.27</v>
      </c>
      <c r="D55" s="42">
        <f>_xlfn.XLOOKUP(C55,tblTNFa[NetMFI],tblTNFa[NetMFI],"OOR&lt;",-1)</f>
        <v>70.939196579494606</v>
      </c>
      <c r="E55" s="42">
        <f>_xlfn.XLOOKUP(C55,tblTNFa[NetMFI],tblTNFa[Concentration],"OOR&lt;",-1)</f>
        <v>2.4915115115115101</v>
      </c>
      <c r="F55" s="42">
        <f>_xlfn.XLOOKUP(C55,tblTNFa[NetMFI],tblTNFa[NetMFI],"OOR&gt;",1)</f>
        <v>148.02761478666801</v>
      </c>
      <c r="G55" s="42">
        <f>_xlfn.XLOOKUP(C55,tblTNFa[NetMFI],tblTNFa[Concentration],"OOR&gt;",1)</f>
        <v>4.4930230230230199</v>
      </c>
      <c r="H55" s="45">
        <f t="shared" si="1"/>
        <v>3.4088349097818802</v>
      </c>
      <c r="I55" s="60" t="str">
        <f t="shared" si="4"/>
        <v>OK</v>
      </c>
      <c r="L55" s="56" t="str">
        <f>IF(AND(K55&lt;&gt;"",K55&lt;&gt;0),COUNTIFS(TNFa_Unknowns!$A:$A,K55,
TNFa_Unknowns!$I:$I,"OK"),"")</f>
        <v/>
      </c>
      <c r="M55" s="3" t="str">
        <f>IF(AND(K55&lt;&gt;"",K55&lt;&gt;0),IF(L55=2,
AVERAGEIFS(
TNFa_Unknowns!$H:$H,
TNFa_Unknowns!$A:$A,K55,
TNFa_Unknowns!$I:$I,"OK"),
"N.C."),"")</f>
        <v/>
      </c>
      <c r="N55" s="3" t="str" cm="1">
        <f t="array" ref="N55">IF(AND(K55&lt;&gt;"",K55&lt;&gt;0),IF(L55=2,_xlfn.STDEV.S(_xlfn._xlws.FILTER(TNFa_Unknowns!$H:$H,(TNFa_Unknowns!$A:$A=K55)*(TNFa_Unknowns!$I:$I="OK"))),
"N.C."),"")</f>
        <v/>
      </c>
      <c r="O55" s="3" t="str">
        <f t="shared" si="2"/>
        <v/>
      </c>
      <c r="P55" s="3" t="str">
        <f t="shared" si="3"/>
        <v/>
      </c>
      <c r="Q55" t="str">
        <f>IF(AND(K55&lt;&gt;"",K55&lt;&gt;0),IF(COUNTIFS(TNFa_Unknowns!$A:$A,K55,TNFa_Unknowns!$I:$I,"OOR&gt;")&gt;0,
"OOR&gt;",
IF(COUNTIFS(TNFa_Unknowns!$A:$A,K55,TNFa_Unknowns!$I:$I,"OOR&lt;")&gt;0,
"OOR&lt;",
IF(COUNTIFS(TNFa_Unknowns!$A:$A,K55,TNFa_Unknowns!$I:$I,"OK")=2,
"quantifiable",
IF(COUNTIFS(TNFa_Unknowns!$A:$A,K55,TNFa_Unknowns!$I:$I,"&lt;LLOQ")=2,
"&lt;LLOQ",
IF(COUNTIFS(TNFa_Unknowns!$A:$A,K55,TNFa_Unknowns!$I:$I,"&gt;ULOQ")=2,
"&gt;ULOQ",
"review"))))),"")</f>
        <v/>
      </c>
    </row>
    <row r="56" spans="1:17" x14ac:dyDescent="0.2">
      <c r="A56" s="70" t="s">
        <v>80</v>
      </c>
      <c r="B56" s="58">
        <v>1</v>
      </c>
      <c r="C56" s="58">
        <v>60.14</v>
      </c>
      <c r="D56" s="42">
        <f>_xlfn.XLOOKUP(C56,tblTNFa[NetMFI],tblTNFa[NetMFI],"OOR&lt;",-1)</f>
        <v>19.852967194712999</v>
      </c>
      <c r="E56" s="42">
        <f>_xlfn.XLOOKUP(C56,tblTNFa[NetMFI],tblTNFa[Concentration],"OOR&lt;",-1)</f>
        <v>0.49</v>
      </c>
      <c r="F56" s="42">
        <f>_xlfn.XLOOKUP(C56,tblTNFa[NetMFI],tblTNFa[NetMFI],"OOR&gt;",1)</f>
        <v>70.939196579494606</v>
      </c>
      <c r="G56" s="42">
        <f>_xlfn.XLOOKUP(C56,tblTNFa[NetMFI],tblTNFa[Concentration],"OOR&gt;",1)</f>
        <v>2.4915115115115101</v>
      </c>
      <c r="H56" s="45">
        <f t="shared" si="1"/>
        <v>2.0684089155823395</v>
      </c>
      <c r="I56" s="60" t="str">
        <f t="shared" si="4"/>
        <v>OK</v>
      </c>
      <c r="L56" s="56" t="str">
        <f>IF(AND(K56&lt;&gt;"",K56&lt;&gt;0),COUNTIFS(TNFa_Unknowns!$A:$A,K56,
TNFa_Unknowns!$I:$I,"OK"),"")</f>
        <v/>
      </c>
      <c r="M56" s="3" t="str">
        <f>IF(AND(K56&lt;&gt;"",K56&lt;&gt;0),IF(L56=2,
AVERAGEIFS(
TNFa_Unknowns!$H:$H,
TNFa_Unknowns!$A:$A,K56,
TNFa_Unknowns!$I:$I,"OK"),
"N.C."),"")</f>
        <v/>
      </c>
      <c r="N56" s="3" t="str" cm="1">
        <f t="array" ref="N56">IF(AND(K56&lt;&gt;"",K56&lt;&gt;0),IF(L56=2,_xlfn.STDEV.S(_xlfn._xlws.FILTER(TNFa_Unknowns!$H:$H,(TNFa_Unknowns!$A:$A=K56)*(TNFa_Unknowns!$I:$I="OK"))),
"N.C."),"")</f>
        <v/>
      </c>
      <c r="O56" s="3" t="str">
        <f t="shared" si="2"/>
        <v/>
      </c>
      <c r="P56" s="3" t="str">
        <f t="shared" si="3"/>
        <v/>
      </c>
      <c r="Q56" t="str">
        <f>IF(AND(K56&lt;&gt;"",K56&lt;&gt;0),IF(COUNTIFS(TNFa_Unknowns!$A:$A,K56,TNFa_Unknowns!$I:$I,"OOR&gt;")&gt;0,
"OOR&gt;",
IF(COUNTIFS(TNFa_Unknowns!$A:$A,K56,TNFa_Unknowns!$I:$I,"OOR&lt;")&gt;0,
"OOR&lt;",
IF(COUNTIFS(TNFa_Unknowns!$A:$A,K56,TNFa_Unknowns!$I:$I,"OK")=2,
"quantifiable",
IF(COUNTIFS(TNFa_Unknowns!$A:$A,K56,TNFa_Unknowns!$I:$I,"&lt;LLOQ")=2,
"&lt;LLOQ",
IF(COUNTIFS(TNFa_Unknowns!$A:$A,K56,TNFa_Unknowns!$I:$I,"&gt;ULOQ")=2,
"&gt;ULOQ",
"review"))))),"")</f>
        <v/>
      </c>
    </row>
    <row r="57" spans="1:17" x14ac:dyDescent="0.2">
      <c r="A57" s="70" t="s">
        <v>80</v>
      </c>
      <c r="B57" s="58">
        <v>2</v>
      </c>
      <c r="C57" s="58">
        <v>53.8</v>
      </c>
      <c r="D57" s="42">
        <f>_xlfn.XLOOKUP(C57,tblTNFa[NetMFI],tblTNFa[NetMFI],"OOR&lt;",-1)</f>
        <v>19.852967194712999</v>
      </c>
      <c r="E57" s="42">
        <f>_xlfn.XLOOKUP(C57,tblTNFa[NetMFI],tblTNFa[Concentration],"OOR&lt;",-1)</f>
        <v>0.49</v>
      </c>
      <c r="F57" s="42">
        <f>_xlfn.XLOOKUP(C57,tblTNFa[NetMFI],tblTNFa[NetMFI],"OOR&gt;",1)</f>
        <v>70.939196579494606</v>
      </c>
      <c r="G57" s="42">
        <f>_xlfn.XLOOKUP(C57,tblTNFa[NetMFI],tblTNFa[Concentration],"OOR&gt;",1)</f>
        <v>2.4915115115115101</v>
      </c>
      <c r="H57" s="45">
        <f t="shared" si="1"/>
        <v>1.820013542978012</v>
      </c>
      <c r="I57" s="60" t="str">
        <f t="shared" si="4"/>
        <v>&lt;LLOQ</v>
      </c>
      <c r="L57" s="56" t="str">
        <f>IF(AND(K57&lt;&gt;"",K57&lt;&gt;0),COUNTIFS(TNFa_Unknowns!$A:$A,K57,
TNFa_Unknowns!$I:$I,"OK"),"")</f>
        <v/>
      </c>
      <c r="M57" s="3" t="str">
        <f>IF(AND(K57&lt;&gt;"",K57&lt;&gt;0),IF(L57=2,
AVERAGEIFS(
TNFa_Unknowns!$H:$H,
TNFa_Unknowns!$A:$A,K57,
TNFa_Unknowns!$I:$I,"OK"),
"N.C."),"")</f>
        <v/>
      </c>
      <c r="N57" s="3" t="str" cm="1">
        <f t="array" ref="N57">IF(AND(K57&lt;&gt;"",K57&lt;&gt;0),IF(L57=2,_xlfn.STDEV.S(_xlfn._xlws.FILTER(TNFa_Unknowns!$H:$H,(TNFa_Unknowns!$A:$A=K57)*(TNFa_Unknowns!$I:$I="OK"))),
"N.C."),"")</f>
        <v/>
      </c>
      <c r="O57" s="3" t="str">
        <f t="shared" si="2"/>
        <v/>
      </c>
      <c r="P57" s="3" t="str">
        <f t="shared" si="3"/>
        <v/>
      </c>
      <c r="Q57" t="str">
        <f>IF(AND(K57&lt;&gt;"",K57&lt;&gt;0),IF(COUNTIFS(TNFa_Unknowns!$A:$A,K57,TNFa_Unknowns!$I:$I,"OOR&gt;")&gt;0,
"OOR&gt;",
IF(COUNTIFS(TNFa_Unknowns!$A:$A,K57,TNFa_Unknowns!$I:$I,"OOR&lt;")&gt;0,
"OOR&lt;",
IF(COUNTIFS(TNFa_Unknowns!$A:$A,K57,TNFa_Unknowns!$I:$I,"OK")=2,
"quantifiable",
IF(COUNTIFS(TNFa_Unknowns!$A:$A,K57,TNFa_Unknowns!$I:$I,"&lt;LLOQ")=2,
"&lt;LLOQ",
IF(COUNTIFS(TNFa_Unknowns!$A:$A,K57,TNFa_Unknowns!$I:$I,"&gt;ULOQ")=2,
"&gt;ULOQ",
"review"))))),"")</f>
        <v/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aefc24-4514-48ef-a384-8bc425c11073" xsi:nil="true"/>
    <lcf76f155ced4ddcb4097134ff3c332f xmlns="8214e165-7db2-4ac1-97bb-f558e85e5e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079FF5CDF46341B50F83DFB6E023BA" ma:contentTypeVersion="16" ma:contentTypeDescription="Ein neues Dokument erstellen." ma:contentTypeScope="" ma:versionID="592b4e4609dfa23bbf15cea68275aa3a">
  <xsd:schema xmlns:xsd="http://www.w3.org/2001/XMLSchema" xmlns:xs="http://www.w3.org/2001/XMLSchema" xmlns:p="http://schemas.microsoft.com/office/2006/metadata/properties" xmlns:ns2="8214e165-7db2-4ac1-97bb-f558e85e5efc" xmlns:ns3="4faefc24-4514-48ef-a384-8bc425c11073" targetNamespace="http://schemas.microsoft.com/office/2006/metadata/properties" ma:root="true" ma:fieldsID="56559da3c86420a1226d758e7ce9cec7" ns2:_="" ns3:_="">
    <xsd:import namespace="8214e165-7db2-4ac1-97bb-f558e85e5efc"/>
    <xsd:import namespace="4faefc24-4514-48ef-a384-8bc425c110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4e165-7db2-4ac1-97bb-f558e85e5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efc24-4514-48ef-a384-8bc425c11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77ba688-adce-4a41-b16a-2269ef794a7d}" ma:internalName="TaxCatchAll" ma:showField="CatchAllData" ma:web="4faefc24-4514-48ef-a384-8bc425c110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744EC-B503-4C9E-A2F9-B75F6D50349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4faefc24-4514-48ef-a384-8bc425c11073"/>
    <ds:schemaRef ds:uri="8214e165-7db2-4ac1-97bb-f558e85e5efc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641771-C9CE-4851-ABFE-A473E69114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BE1DA-F847-4580-871E-05287654A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4e165-7db2-4ac1-97bb-f558e85e5efc"/>
    <ds:schemaRef ds:uri="4faefc24-4514-48ef-a384-8bc425c11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e91939-923e-432c-bc66-cbc3ec18d02c}" enabled="0" method="" siteId="{afe91939-923e-432c-bc66-cbc3ec18d0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TNFa_Curve</vt:lpstr>
      <vt:lpstr>TNFa_Standards</vt:lpstr>
      <vt:lpstr>TNFa_Unknowns</vt:lpstr>
      <vt:lpstr>CVmax</vt:lpstr>
      <vt:lpstr>LLOQ</vt:lpstr>
      <vt:lpstr>RecoveryHIGH</vt:lpstr>
      <vt:lpstr>RecoveryLOW</vt:lpstr>
      <vt:lpstr>ULOQ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Langner</dc:creator>
  <cp:lastModifiedBy>Sonnemann, Janis</cp:lastModifiedBy>
  <dcterms:created xsi:type="dcterms:W3CDTF">2026-04-27T12:13:37Z</dcterms:created>
  <dcterms:modified xsi:type="dcterms:W3CDTF">2026-07-13T09:16:53Z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0x01010071079FF5CDF46341B50F83DFB6E023BA</vt:lpwstr>
  </property>
</Properties>
</file>